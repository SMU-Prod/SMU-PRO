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AEREO" sheetId="2" state="visible" r:id="rId2"/>
    <sheet name="RODOVIARIO" sheetId="3" state="visible" r:id="rId3"/>
    <sheet name="FRETAMENTO" sheetId="4" state="visible" r:id="rId4"/>
    <sheet name="RESUMO" sheetId="5" state="visible" r:id="rId5"/>
    <sheet name="TABELAS_OFICIA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"/>
    <numFmt numFmtId="166" formatCode="#,##0.##"/>
    <numFmt numFmtId="167" formatCode="0.0%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1F3864"/>
      <sz val="10"/>
    </font>
    <font>
      <b val="1"/>
    </font>
    <font>
      <color rgb="00B71C1C"/>
      <sz val="9"/>
    </font>
    <font>
      <color rgb="00666666"/>
      <sz val="9"/>
    </font>
    <font>
      <b val="1"/>
      <color rgb="001F3864"/>
      <sz val="11"/>
    </font>
    <font>
      <color rgb="001B5E20"/>
      <sz val="9"/>
    </font>
    <font>
      <i val="1"/>
      <color rgb="001B5E20"/>
      <sz val="9"/>
    </font>
    <font>
      <b val="1"/>
      <sz val="11"/>
    </font>
    <font>
      <b val="1"/>
      <color rgb="00B71C1C"/>
      <sz val="9"/>
    </font>
    <font>
      <b val="1"/>
      <color rgb="00B71C1C"/>
    </font>
    <font>
      <b val="1"/>
      <color rgb="001B5E20"/>
    </font>
    <font>
      <color rgb="00666666"/>
      <sz val="8"/>
    </font>
    <font>
      <i val="1"/>
      <color rgb="00B71C1C"/>
    </font>
    <font>
      <i val="1"/>
      <color rgb="00B71C1C"/>
      <sz val="9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DEDED"/>
      </patternFill>
    </fill>
    <fill>
      <patternFill patternType="solid">
        <fgColor rgb="00FFE0B2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0" fontId="7" fillId="0" borderId="0" pivotButton="0" quotePrefix="0" xfId="0"/>
    <xf numFmtId="0" fontId="4" fillId="5" borderId="1" pivotButton="0" quotePrefix="0" xfId="0"/>
    <xf numFmtId="0" fontId="8" fillId="0" borderId="1" applyAlignment="1" pivotButton="0" quotePrefix="0" xfId="0">
      <alignment vertical="top" wrapText="1"/>
    </xf>
    <xf numFmtId="164" fontId="4" fillId="5" borderId="1" pivotButton="0" quotePrefix="0" xfId="0"/>
    <xf numFmtId="1" fontId="4" fillId="5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9" fillId="0" borderId="1" pivotButton="0" quotePrefix="0" xfId="0"/>
    <xf numFmtId="0" fontId="10" fillId="6" borderId="1" pivotButton="0" quotePrefix="0" xfId="0"/>
    <xf numFmtId="164" fontId="10" fillId="6" borderId="1" pivotButton="0" quotePrefix="0" xfId="0"/>
    <xf numFmtId="0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1" fillId="7" borderId="0" applyAlignment="1" pivotButton="0" quotePrefix="0" xfId="0">
      <alignment vertical="center" wrapText="1"/>
    </xf>
    <xf numFmtId="164" fontId="0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0" fontId="11" fillId="7" borderId="0" applyAlignment="1" pivotButton="0" quotePrefix="0" xfId="0">
      <alignment wrapText="1"/>
    </xf>
    <xf numFmtId="164" fontId="13" fillId="0" borderId="0" pivotButton="0" quotePrefix="0" xfId="0"/>
    <xf numFmtId="1" fontId="13" fillId="0" borderId="0" pivotButton="0" quotePrefix="0" xfId="0"/>
    <xf numFmtId="0" fontId="8" fillId="0" borderId="0" applyAlignment="1" pivotButton="0" quotePrefix="0" xfId="0">
      <alignment wrapText="1"/>
    </xf>
    <xf numFmtId="0" fontId="4" fillId="0" borderId="1" pivotButton="0" quotePrefix="0" xfId="0"/>
    <xf numFmtId="164" fontId="4" fillId="6" borderId="1" pivotButton="0" quotePrefix="0" xfId="0"/>
    <xf numFmtId="165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167" fontId="4" fillId="0" borderId="1" pivotButton="0" quotePrefix="0" xfId="0"/>
    <xf numFmtId="0" fontId="7" fillId="6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164" fontId="0" fillId="8" borderId="1" pivotButton="0" quotePrefix="0" xfId="0"/>
    <xf numFmtId="0" fontId="14" fillId="0" borderId="1" applyAlignment="1" pivotButton="0" quotePrefix="0" xfId="0">
      <alignment vertical="top" wrapText="1"/>
    </xf>
    <xf numFmtId="0" fontId="15" fillId="7" borderId="1" pivotButton="0" quotePrefix="0" xfId="0"/>
    <xf numFmtId="0" fontId="16" fillId="0" borderId="0" pivotButton="0" quotePrefix="0" xfId="0"/>
    <xf numFmtId="0" fontId="17" fillId="0" borderId="1" pivotButton="0" quotePrefix="0" xfId="0"/>
    <xf numFmtId="0" fontId="18" fillId="0" borderId="1" applyAlignment="1" pivotButton="0" quotePrefix="0" xfId="0">
      <alignment vertical="top" wrapText="1"/>
    </xf>
    <xf numFmtId="0" fontId="14" fillId="0" borderId="1" pivotButton="0" quotePrefix="0" xfId="0"/>
    <xf numFmtId="0" fontId="1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SMU - Pleno Produtor</author>
  </authors>
  <commentList>
    <comment ref="B5" authorId="0" shapeId="0">
      <text>
        <t>PREMISSA DO ALUNO
Multiplica quase tudo. Erre aqui e erre o orçamento inteiro.</t>
      </text>
    </comment>
    <comment ref="B6" authorId="0" shapeId="0">
      <text>
        <t>PREMISSA DO ALUNO
Bagagem se paga POR TRECHO, não por viagem. É o esquecimento clássico.</t>
      </text>
    </comment>
    <comment ref="B7" authorId="0" shapeId="0">
      <text>
        <t>PREMISSA DO ALUNO
A 2ª e a 3ª peça custam mais caro que a 1ª.</t>
      </text>
    </comment>
    <comment ref="B8" authorId="0" shapeId="0">
      <text>
        <t>PREMISSA DO ALUNO — vem preenchida com 23 kg, que é o DADO OFICIAL da franquia por volume (GOL/Azul/LATAM, snapshot 15/07/2026)
Acima de 32 kg entra excesso. Acima de 45 kg a cia RECUSA e vira carga (Res. ANAC 400/2016, art. 15).</t>
      </text>
    </comment>
    <comment ref="B9" authorId="0" shapeId="0">
      <text>
        <t>ESCOLHA (lista suspensa)
LATAM não publica preço de despacho: é dinâmico. Escolha LATAM e veja a planilha avisar em vez de inventar.</t>
      </text>
    </comment>
    <comment ref="B10" authorId="0" shapeId="0">
      <text>
        <t>ESCOLHA (lista suspensa)
Comprar no aeroporto custa mais caro. Na GOL: R$ 130 antecipado x R$ 180 no balcão.</t>
      </text>
    </comment>
    <comment ref="B11" authorId="0" shapeId="0">
      <text>
        <t>PREMISSA DO ALUNO — coloque a SUA cotação
Não existe tabela de passagem: preço é livre e muda por hora. O 1.200 aqui é só exemplo.</t>
      </text>
    </comment>
    <comment ref="B12" authorId="0" shapeId="0">
      <text>
        <t>PREMISSA DO ALUNO — coloque a SUA cotação
Idem. Exemplo — substitua.</t>
      </text>
    </comment>
    <comment ref="B13" authorId="0" shapeId="0">
      <text>
        <t>PREMISSA DO ALUNO — coloque a SUA cotação
Custo do CONTRATO, não por pessoa. Exemplo — substitua.</t>
      </text>
    </comment>
    <comment ref="B14" authorId="0" shapeId="0">
      <text>
        <t>PREMISSA DO ALUNO
Serve para você conferir se as horas de estrada fazem sentido.</t>
      </text>
    </comment>
    <comment ref="B15" authorId="0" shapeId="0">
      <text>
        <t>PREMISSA DO ALUNO
Inclui chegar 2 h antes, voo, esteira e traslado.</t>
      </text>
    </comment>
    <comment ref="B16" authorId="0" shapeId="0">
      <text>
        <t>PREMISSA DO ALUNO
É aqui que nasce a diária extra que ninguém orça.</t>
      </text>
    </comment>
    <comment ref="B17" authorId="0" shapeId="0">
      <text>
        <t>PREMISSA DO ALUNO
O dia a mais na estrada é dia de cachê. Não é de graça.</t>
      </text>
    </comment>
    <comment ref="B18" authorId="0" shapeId="0">
      <text>
        <t>PREMISSA DO ALUNO
A noite extra que a estrada gera.</t>
      </text>
    </comment>
    <comment ref="B19" authorId="0" shapeId="0">
      <text>
        <t>PREMISSA DO ALUNO
Van/carro casa-aeroporto e aeroporto-hotel.</t>
      </text>
    </comment>
    <comment ref="B20" authorId="0" shapeId="0">
      <text>
        <t>PREMISSA DO ALUNO
Casa→aeroporto, aeroporto→hotel, e a volta.</t>
      </text>
    </comment>
    <comment ref="B21" authorId="0" shapeId="0">
      <text>
        <t>PREMISSA DO ALUNO
Rodoviária→hotel, ida e volta.</t>
      </text>
    </comment>
    <comment ref="B22" authorId="0" shapeId="0">
      <text>
        <t>PREMISSA DO ALUNO
O fretado costuma ser porta a porta. Se não for, ajuste.</t>
      </text>
    </comment>
    <comment ref="B23" authorId="0" shapeId="0">
      <text>
        <t>PREMISSA DO ALUNO — NÃO EXISTE TABELA
Res. ANTT 6.033/2023: excesso virou serviço acessório, oferta facultativa e PREÇO LIVRE — a empresa pode simplesmente recusar. Não há número oficial para cravar aqui. Cote com a empresa.</t>
      </text>
    </comment>
    <comment ref="B24" authorId="0" shapeId="0">
      <text>
        <t>PREMISSA DO ALUNO — é o que o cliente aprovou
É contra isto que o RESUMO mede a folga.</t>
      </text>
    </comment>
    <comment ref="B27" authorId="0" shapeId="0">
      <text>
        <t>FÓRMULA — monta a chave que o ÍNDICE+CORRESP usa em TABELAS_OFICIAIS</t>
      </text>
    </comment>
    <comment ref="B28" authorId="0" shapeId="0">
      <text>
        <t>TABELAS_OFICIAIS — dado oficial, snapshot 15/07/2026</t>
      </text>
    </comment>
    <comment ref="B29" authorId="0" shapeId="0">
      <text>
        <t>TABELAS_OFICIAIS — dado oficial, snapshot 15/07/2026</t>
      </text>
    </comment>
    <comment ref="B30" authorId="0" shapeId="0">
      <text>
        <t>TABELAS_OFICIAIS — dado oficial, snapshot 15/07/2026</t>
      </text>
    </comment>
    <comment ref="B31" authorId="0" shapeId="0">
      <text>
        <t>TABELAS_OFICIAIS — só a GOL publica (R$ 350)</t>
      </text>
    </comment>
    <comment ref="B32" authorId="0" shapeId="0">
      <text>
        <t>FÓRMULA — modelo: cada 24 h a mais de estrada (ida+volta) = 1 dia extra de equipe</t>
      </text>
    </comment>
    <comment ref="B33" authorId="0" shapeId="0">
      <text>
        <t>FÓRMULA — aponta para B32: uma célula, uma verdade</t>
      </text>
    </comment>
    <comment ref="B34" authorId="0" shapeId="0">
      <text>
        <t>Res. ANTT 4.777/2015, art. 36 — substituição de até 20% antes da partida</t>
      </text>
    </comment>
  </commentList>
</comments>
</file>

<file path=xl/comments/comment2.xml><?xml version="1.0" encoding="utf-8"?>
<comments xmlns="http://schemas.openxmlformats.org/spreadsheetml/2006/main">
  <authors>
    <author>SMU - Pleno Produtor</author>
  </authors>
  <commentList>
    <comment ref="E18" authorId="0" shapeId="0">
      <text>
        <t>A SOMA vai até a linha 16 de propósito, com folga: você acrescenta item nas linhas livres e o total acompanha. O erro nº 1 de planilha de produtora é a SOMA que não alcança a última linha.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0" customWidth="1" min="3" max="3"/>
    <col width="42" customWidth="1" min="4" max="4"/>
    <col width="44" customWidth="1" min="5" max="5"/>
  </cols>
  <sheetData>
    <row r="1" ht="26" customHeight="1">
      <c r="A1" s="1" t="inlineStr">
        <is>
          <t>PREMISSAS - preencha SO as celulas AMARELAS. Todas as outras abas leem daqui.</t>
        </is>
      </c>
    </row>
    <row r="2" ht="46" customHeight="1">
      <c r="A2" s="2" t="inlineStr">
        <is>
          <t>Regra da casa: uma celula, uma verdade. O numero de pessoas mora em B4 e SO em B4 - AEREO, RODOVIARIO, FRETAMENTO e RESUMO apontam para ela com referencia absoluta ($B$4). Mudou a comitiva? Muda B4 e a planilha inteira se recalcula. AMARELO = voce preenche | VERDE = dado de fonte oficial | CINZA = formula, nao digite por cima.</t>
        </is>
      </c>
    </row>
    <row r="4" ht="30" customHeight="1">
      <c r="A4" s="3" t="inlineStr">
        <is>
          <t>Premissa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Origem do dado</t>
        </is>
      </c>
      <c r="E4" s="3" t="inlineStr">
        <is>
          <t>Por que isso importa</t>
        </is>
      </c>
    </row>
    <row r="5" ht="32" customHeight="1">
      <c r="A5" s="4" t="inlineStr">
        <is>
          <t>Nº de pessoas na comitiva</t>
        </is>
      </c>
      <c r="B5" s="5" t="n">
        <v>8</v>
      </c>
      <c r="C5" s="4" t="inlineStr">
        <is>
          <t>pessoas</t>
        </is>
      </c>
      <c r="D5" s="6" t="inlineStr">
        <is>
          <t>PREMISSA DO ALUNO</t>
        </is>
      </c>
      <c r="E5" s="7" t="inlineStr">
        <is>
          <t>Multiplica quase tudo. Erre aqui e erre o orçamento inteiro.</t>
        </is>
      </c>
    </row>
    <row r="6" ht="32" customHeight="1">
      <c r="A6" s="4" t="inlineStr">
        <is>
          <t>Nº de trechos (ida e volta = 2)</t>
        </is>
      </c>
      <c r="B6" s="8" t="n">
        <v>2</v>
      </c>
      <c r="C6" s="4" t="inlineStr">
        <is>
          <t>trechos</t>
        </is>
      </c>
      <c r="D6" s="6" t="inlineStr">
        <is>
          <t>PREMISSA DO ALUNO</t>
        </is>
      </c>
      <c r="E6" s="7" t="inlineStr">
        <is>
          <t>Bagagem se paga POR TRECHO, não por viagem. É o esquecimento clássico.</t>
        </is>
      </c>
    </row>
    <row r="7" ht="32" customHeight="1">
      <c r="A7" s="4" t="inlineStr">
        <is>
          <t>Volumes despachados por pessoa (por trecho)</t>
        </is>
      </c>
      <c r="B7" s="8" t="n">
        <v>1</v>
      </c>
      <c r="C7" s="4" t="inlineStr">
        <is>
          <t>volumes</t>
        </is>
      </c>
      <c r="D7" s="6" t="inlineStr">
        <is>
          <t>PREMISSA DO ALUNO</t>
        </is>
      </c>
      <c r="E7" s="7" t="inlineStr">
        <is>
          <t>A 2ª e a 3ª peça custam mais caro que a 1ª.</t>
        </is>
      </c>
    </row>
    <row r="8" ht="32" customHeight="1">
      <c r="A8" s="4" t="inlineStr">
        <is>
          <t>Peso de cada volume despachado</t>
        </is>
      </c>
      <c r="B8" s="8" t="n">
        <v>23</v>
      </c>
      <c r="C8" s="4" t="inlineStr">
        <is>
          <t>kg</t>
        </is>
      </c>
      <c r="D8" s="6" t="inlineStr">
        <is>
          <t>PREMISSA DO ALUNO — vem preenchida com 23 kg, que é o DADO OFICIAL da franquia por volume (GOL/Azul/LATAM, snapshot 15/07/2026)</t>
        </is>
      </c>
      <c r="E8" s="7" t="inlineStr">
        <is>
          <t>Acima de 32 kg entra excesso. Acima de 45 kg a cia RECUSA e vira carga (Res. ANAC 400/2016, art. 15).</t>
        </is>
      </c>
    </row>
    <row r="9" ht="32" customHeight="1">
      <c r="A9" s="4" t="inlineStr">
        <is>
          <t>Companhia aérea</t>
        </is>
      </c>
      <c r="B9" s="5" t="inlineStr">
        <is>
          <t>GOL</t>
        </is>
      </c>
      <c r="C9" s="4" t="inlineStr">
        <is>
          <t>lista</t>
        </is>
      </c>
      <c r="D9" s="6" t="inlineStr">
        <is>
          <t>ESCOLHA (lista suspensa)</t>
        </is>
      </c>
      <c r="E9" s="7" t="inlineStr">
        <is>
          <t>LATAM não publica preço de despacho: é dinâmico. Escolha LATAM e veja a planilha avisar em vez de inventar.</t>
        </is>
      </c>
    </row>
    <row r="10" ht="32" customHeight="1">
      <c r="A10" s="4" t="inlineStr">
        <is>
          <t>Antecedência da compra do despacho</t>
        </is>
      </c>
      <c r="B10" s="5" t="inlineStr">
        <is>
          <t>48h ou mais</t>
        </is>
      </c>
      <c r="C10" s="4" t="inlineStr">
        <is>
          <t>lista</t>
        </is>
      </c>
      <c r="D10" s="6" t="inlineStr">
        <is>
          <t>ESCOLHA (lista suspensa)</t>
        </is>
      </c>
      <c r="E10" s="7" t="inlineStr">
        <is>
          <t>Comprar no aeroporto custa mais caro. Na GOL: R$ 130 antecipado x R$ 180 no balcão.</t>
        </is>
      </c>
    </row>
    <row r="11" ht="32" customHeight="1">
      <c r="A11" s="4" t="inlineStr">
        <is>
          <t>Preço médio da passagem aérea (ida+volta, por pessoa)</t>
        </is>
      </c>
      <c r="B11" s="9" t="n">
        <v>1200</v>
      </c>
      <c r="C11" s="4" t="inlineStr">
        <is>
          <t>R$</t>
        </is>
      </c>
      <c r="D11" s="6" t="inlineStr">
        <is>
          <t>PREMISSA DO ALUNO — coloque a SUA cotação</t>
        </is>
      </c>
      <c r="E11" s="7" t="inlineStr">
        <is>
          <t>Não existe tabela de passagem: preço é livre e muda por hora. O 1.200 aqui é só exemplo.</t>
        </is>
      </c>
    </row>
    <row r="12" ht="32" customHeight="1">
      <c r="A12" s="4" t="inlineStr">
        <is>
          <t>Preço da passagem rodoviária (ida+volta, por pessoa)</t>
        </is>
      </c>
      <c r="B12" s="9" t="n">
        <v>380</v>
      </c>
      <c r="C12" s="4" t="inlineStr">
        <is>
          <t>R$</t>
        </is>
      </c>
      <c r="D12" s="6" t="inlineStr">
        <is>
          <t>PREMISSA DO ALUNO — coloque a SUA cotação</t>
        </is>
      </c>
      <c r="E12" s="7" t="inlineStr">
        <is>
          <t>Idem. Exemplo — substitua.</t>
        </is>
      </c>
    </row>
    <row r="13" ht="32" customHeight="1">
      <c r="A13" s="4" t="inlineStr">
        <is>
          <t>Custo do fretamento (veículo fechado, ida+volta)</t>
        </is>
      </c>
      <c r="B13" s="9" t="n">
        <v>9800</v>
      </c>
      <c r="C13" s="4" t="inlineStr">
        <is>
          <t>R$</t>
        </is>
      </c>
      <c r="D13" s="6" t="inlineStr">
        <is>
          <t>PREMISSA DO ALUNO — coloque a SUA cotação</t>
        </is>
      </c>
      <c r="E13" s="7" t="inlineStr">
        <is>
          <t>Custo do CONTRATO, não por pessoa. Exemplo — substitua.</t>
        </is>
      </c>
    </row>
    <row r="14" ht="32" customHeight="1">
      <c r="A14" s="4" t="inlineStr">
        <is>
          <t>Distância (só de ida)</t>
        </is>
      </c>
      <c r="B14" s="10" t="n">
        <v>1000</v>
      </c>
      <c r="C14" s="4" t="inlineStr">
        <is>
          <t>km</t>
        </is>
      </c>
      <c r="D14" s="6" t="inlineStr">
        <is>
          <t>PREMISSA DO ALUNO</t>
        </is>
      </c>
      <c r="E14" s="7" t="inlineStr">
        <is>
          <t>Serve para você conferir se as horas de estrada fazem sentido.</t>
        </is>
      </c>
    </row>
    <row r="15" ht="32" customHeight="1">
      <c r="A15" s="4" t="inlineStr">
        <is>
          <t>Horas de viagem porta a porta — AÉREO</t>
        </is>
      </c>
      <c r="B15" s="11" t="n">
        <v>6</v>
      </c>
      <c r="C15" s="4" t="inlineStr">
        <is>
          <t>h</t>
        </is>
      </c>
      <c r="D15" s="6" t="inlineStr">
        <is>
          <t>PREMISSA DO ALUNO</t>
        </is>
      </c>
      <c r="E15" s="7" t="inlineStr">
        <is>
          <t>Inclui chegar 2 h antes, voo, esteira e traslado.</t>
        </is>
      </c>
    </row>
    <row r="16" ht="32" customHeight="1">
      <c r="A16" s="4" t="inlineStr">
        <is>
          <t>Horas de viagem porta a porta — RODOVIÁRIO</t>
        </is>
      </c>
      <c r="B16" s="11" t="n">
        <v>16</v>
      </c>
      <c r="C16" s="4" t="inlineStr">
        <is>
          <t>h</t>
        </is>
      </c>
      <c r="D16" s="6" t="inlineStr">
        <is>
          <t>PREMISSA DO ALUNO</t>
        </is>
      </c>
      <c r="E16" s="7" t="inlineStr">
        <is>
          <t>É aqui que nasce a diária extra que ninguém orça.</t>
        </is>
      </c>
    </row>
    <row r="17" ht="32" customHeight="1">
      <c r="A17" s="4" t="inlineStr">
        <is>
          <t>Diária da equipe</t>
        </is>
      </c>
      <c r="B17" s="9" t="n">
        <v>350</v>
      </c>
      <c r="C17" s="4" t="inlineStr">
        <is>
          <t>R$/pessoa/dia</t>
        </is>
      </c>
      <c r="D17" s="6" t="inlineStr">
        <is>
          <t>PREMISSA DO ALUNO</t>
        </is>
      </c>
      <c r="E17" s="7" t="inlineStr">
        <is>
          <t>O dia a mais na estrada é dia de cachê. Não é de graça.</t>
        </is>
      </c>
    </row>
    <row r="18" ht="32" customHeight="1">
      <c r="A18" s="4" t="inlineStr">
        <is>
          <t>Diária de hotel</t>
        </is>
      </c>
      <c r="B18" s="9" t="n">
        <v>220</v>
      </c>
      <c r="C18" s="4" t="inlineStr">
        <is>
          <t>R$/pessoa/noite</t>
        </is>
      </c>
      <c r="D18" s="6" t="inlineStr">
        <is>
          <t>PREMISSA DO ALUNO</t>
        </is>
      </c>
      <c r="E18" s="7" t="inlineStr">
        <is>
          <t>A noite extra que a estrada gera.</t>
        </is>
      </c>
    </row>
    <row r="19" ht="32" customHeight="1">
      <c r="A19" s="4" t="inlineStr">
        <is>
          <t>Custo de traslado por trecho</t>
        </is>
      </c>
      <c r="B19" s="9" t="n">
        <v>60</v>
      </c>
      <c r="C19" s="4" t="inlineStr">
        <is>
          <t>R$/pessoa/trecho</t>
        </is>
      </c>
      <c r="D19" s="6" t="inlineStr">
        <is>
          <t>PREMISSA DO ALUNO</t>
        </is>
      </c>
      <c r="E19" s="7" t="inlineStr">
        <is>
          <t>Van/carro casa-aeroporto e aeroporto-hotel.</t>
        </is>
      </c>
    </row>
    <row r="20" ht="32" customHeight="1">
      <c r="A20" s="4" t="inlineStr">
        <is>
          <t>Nº de traslados — AÉREO</t>
        </is>
      </c>
      <c r="B20" s="8" t="n">
        <v>4</v>
      </c>
      <c r="C20" s="4" t="inlineStr">
        <is>
          <t>traslados/pessoa</t>
        </is>
      </c>
      <c r="D20" s="6" t="inlineStr">
        <is>
          <t>PREMISSA DO ALUNO</t>
        </is>
      </c>
      <c r="E20" s="7" t="inlineStr">
        <is>
          <t>Casa→aeroporto, aeroporto→hotel, e a volta.</t>
        </is>
      </c>
    </row>
    <row r="21" ht="32" customHeight="1">
      <c r="A21" s="4" t="inlineStr">
        <is>
          <t>Nº de traslados — RODOVIÁRIO</t>
        </is>
      </c>
      <c r="B21" s="8" t="n">
        <v>2</v>
      </c>
      <c r="C21" s="4" t="inlineStr">
        <is>
          <t>traslados/pessoa</t>
        </is>
      </c>
      <c r="D21" s="6" t="inlineStr">
        <is>
          <t>PREMISSA DO ALUNO</t>
        </is>
      </c>
      <c r="E21" s="7" t="inlineStr">
        <is>
          <t>Rodoviária→hotel, ida e volta.</t>
        </is>
      </c>
    </row>
    <row r="22" ht="32" customHeight="1">
      <c r="A22" s="4" t="inlineStr">
        <is>
          <t>Nº de traslados — FRETAMENTO</t>
        </is>
      </c>
      <c r="B22" s="8" t="n">
        <v>0</v>
      </c>
      <c r="C22" s="4" t="inlineStr">
        <is>
          <t>traslados/pessoa</t>
        </is>
      </c>
      <c r="D22" s="6" t="inlineStr">
        <is>
          <t>PREMISSA DO ALUNO</t>
        </is>
      </c>
      <c r="E22" s="7" t="inlineStr">
        <is>
          <t>O fretado costuma ser porta a porta. Se não for, ajuste.</t>
        </is>
      </c>
    </row>
    <row r="23" ht="32" customHeight="1">
      <c r="A23" s="4" t="inlineStr">
        <is>
          <t>Excesso de bagagem RODOVIÁRIO (verba total estimada)</t>
        </is>
      </c>
      <c r="B23" s="9" t="n">
        <v>0</v>
      </c>
      <c r="C23" s="4" t="inlineStr">
        <is>
          <t>R$</t>
        </is>
      </c>
      <c r="D23" s="6" t="inlineStr">
        <is>
          <t>PREMISSA DO ALUNO — NÃO EXISTE TABELA</t>
        </is>
      </c>
      <c r="E23" s="7" t="inlineStr">
        <is>
          <t>Res. ANTT 6.033/2023: excesso virou serviço acessório, oferta facultativa e PREÇO LIVRE — a empresa pode simplesmente recusar. Não há número oficial para cravar aqui. Cote com a empresa.</t>
        </is>
      </c>
    </row>
    <row r="24" ht="32" customHeight="1">
      <c r="A24" s="4" t="inlineStr">
        <is>
          <t>Orçamento aprovado para transporte</t>
        </is>
      </c>
      <c r="B24" s="9" t="n">
        <v>20000</v>
      </c>
      <c r="C24" s="4" t="inlineStr">
        <is>
          <t>R$</t>
        </is>
      </c>
      <c r="D24" s="6" t="inlineStr">
        <is>
          <t>PREMISSA DO ALUNO — é o que o cliente aprovou</t>
        </is>
      </c>
      <c r="E24" s="7" t="inlineStr">
        <is>
          <t>É contra isto que o RESUMO mede a folga.</t>
        </is>
      </c>
    </row>
    <row r="26">
      <c r="A26" s="12" t="inlineStr">
        <is>
          <t>CALCULADO A PARTIR DAS PREMISSAS (não digite por cima)</t>
        </is>
      </c>
    </row>
    <row r="27" ht="30" customHeight="1">
      <c r="A27" s="4" t="inlineStr">
        <is>
          <t>Chave de consulta da tabela oficial</t>
        </is>
      </c>
      <c r="B27" s="13">
        <f>$B$9&amp;"|"&amp;$B$10</f>
        <v/>
      </c>
      <c r="C27" s="4" t="inlineStr">
        <is>
          <t>texto</t>
        </is>
      </c>
      <c r="D27" s="14" t="inlineStr">
        <is>
          <t>FÓRMULA — monta a chave que o ÍNDICE+CORRESP usa em TABELAS_OFICIAIS</t>
        </is>
      </c>
    </row>
    <row r="28" ht="30" customHeight="1">
      <c r="A28" s="4" t="inlineStr">
        <is>
          <t>Preço da 1ª peça despachada (resolvido)</t>
        </is>
      </c>
      <c r="B28" s="15">
        <f>IFERROR(INDEX(TABELAS_OFICIAIS!$D$6:$F$14,MATCH($B$27,TABELAS_OFICIAIS!$A$6:$A$14,0),1),"chave invalida")</f>
        <v/>
      </c>
      <c r="C28" s="4" t="inlineStr">
        <is>
          <t>R$/peça/trecho</t>
        </is>
      </c>
      <c r="D28" s="14" t="inlineStr">
        <is>
          <t>TABELAS_OFICIAIS — dado oficial, snapshot 15/07/2026</t>
        </is>
      </c>
    </row>
    <row r="29" ht="30" customHeight="1">
      <c r="A29" s="4" t="inlineStr">
        <is>
          <t>Preço da 2ª peça despachada (resolvido)</t>
        </is>
      </c>
      <c r="B29" s="15">
        <f>IFERROR(INDEX(TABELAS_OFICIAIS!$D$6:$F$14,MATCH($B$27,TABELAS_OFICIAIS!$A$6:$A$14,0),2),"chave invalida")</f>
        <v/>
      </c>
      <c r="C29" s="4" t="inlineStr">
        <is>
          <t>R$/peça/trecho</t>
        </is>
      </c>
      <c r="D29" s="14" t="inlineStr">
        <is>
          <t>TABELAS_OFICIAIS — dado oficial, snapshot 15/07/2026</t>
        </is>
      </c>
    </row>
    <row r="30" ht="30" customHeight="1">
      <c r="A30" s="4" t="inlineStr">
        <is>
          <t>Preço da 3ª a 5ª peça (resolvido)</t>
        </is>
      </c>
      <c r="B30" s="15">
        <f>IFERROR(INDEX(TABELAS_OFICIAIS!$D$6:$F$14,MATCH($B$27,TABELAS_OFICIAIS!$A$6:$A$14,0),3),"chave invalida")</f>
        <v/>
      </c>
      <c r="C30" s="4" t="inlineStr">
        <is>
          <t>R$/peça/trecho</t>
        </is>
      </c>
      <c r="D30" s="14" t="inlineStr">
        <is>
          <t>TABELAS_OFICIAIS — dado oficial, snapshot 15/07/2026</t>
        </is>
      </c>
    </row>
    <row r="31" ht="30" customHeight="1">
      <c r="A31" s="4" t="inlineStr">
        <is>
          <t>Preço do excesso 32–45 kg (resolvido)</t>
        </is>
      </c>
      <c r="B31" s="15">
        <f>IFERROR(INDEX(TABELAS_OFICIAIS!$B$21:$B$23,MATCH($B$9,TABELAS_OFICIAIS!$A$21:$A$23,0)),"chave invalida")</f>
        <v/>
      </c>
      <c r="C31" s="4" t="inlineStr">
        <is>
          <t>R$/volume/trecho</t>
        </is>
      </c>
      <c r="D31" s="14" t="inlineStr">
        <is>
          <t>TABELAS_OFICIAIS — só a GOL publica (R$ 350)</t>
        </is>
      </c>
    </row>
    <row r="32" ht="30" customHeight="1">
      <c r="A32" s="4" t="inlineStr">
        <is>
          <t>Dias extras de equipe que a estrada gera</t>
        </is>
      </c>
      <c r="B32" s="16">
        <f>ROUNDUP(($B$16-$B$15)*2/24,0)</f>
        <v/>
      </c>
      <c r="C32" s="4" t="inlineStr">
        <is>
          <t>dias</t>
        </is>
      </c>
      <c r="D32" s="14" t="inlineStr">
        <is>
          <t>FÓRMULA — modelo: cada 24 h a mais de estrada (ida+volta) = 1 dia extra de equipe</t>
        </is>
      </c>
    </row>
    <row r="33" ht="30" customHeight="1">
      <c r="A33" s="4" t="inlineStr">
        <is>
          <t>Noites extras de hotel que a estrada gera</t>
        </is>
      </c>
      <c r="B33" s="16">
        <f>$B$32</f>
        <v/>
      </c>
      <c r="C33" s="4" t="inlineStr">
        <is>
          <t>noites</t>
        </is>
      </c>
      <c r="D33" s="14" t="inlineStr">
        <is>
          <t>FÓRMULA — aponta para B32: uma célula, uma verdade</t>
        </is>
      </c>
    </row>
    <row r="34" ht="30" customHeight="1">
      <c r="A34" s="4" t="inlineStr">
        <is>
          <t>Passageiros que podem ser substituídos no fretamento (20%)</t>
        </is>
      </c>
      <c r="B34" s="16">
        <f>ROUNDDOWN($B$5*0.2,0)</f>
        <v/>
      </c>
      <c r="C34" s="4" t="inlineStr">
        <is>
          <t>pessoas</t>
        </is>
      </c>
      <c r="D34" s="14" t="inlineStr">
        <is>
          <t>Res. ANTT 4.777/2015, art. 36 — substituição de até 20% antes da partida</t>
        </is>
      </c>
    </row>
  </sheetData>
  <mergeCells count="2">
    <mergeCell ref="A2:E2"/>
    <mergeCell ref="A1:E1"/>
  </mergeCells>
  <dataValidations count="2">
    <dataValidation sqref="B9" showDropDown="0" showInputMessage="0" showErrorMessage="0" allowBlank="0" errorTitle="Companhia inválida" error="Escolha GOL, Azul ou LATAM." type="list">
      <formula1>"GOL,Azul,LATAM"</formula1>
    </dataValidation>
    <dataValidation sqref="B10" showDropDown="0" showInputMessage="0" showErrorMessage="0" allowBlank="0" errorTitle="Antecedência inválida" error="Escolha: 48h ou mais / menos de 48h / no aeroporto." type="list">
      <formula1>"48h ou mais,menos de 48h,no aeroporto"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8" customWidth="1" min="4" max="4"/>
    <col width="16" customWidth="1" min="5" max="5"/>
    <col width="58" customWidth="1" min="6" max="6"/>
  </cols>
  <sheetData>
    <row r="1" ht="26" customHeight="1">
      <c r="A1" s="1" t="inlineStr">
        <is>
          <t>CUSTO AÉREO — comitiva</t>
        </is>
      </c>
    </row>
    <row r="2">
      <c r="A2" s="2" t="inlineStr">
        <is>
          <t>Toda célula calculada é FÓRMULA. Nada aqui é digitado à mão. Os preços de bagagem vêm de TABELAS_OFICIAIS por ÍNDICE+CORRESP; o resto vem de PREMISSAS por referência absoluta ($B$5).</t>
        </is>
      </c>
    </row>
    <row r="4" ht="30" customHeight="1">
      <c r="A4" s="3" t="inlineStr">
        <is>
          <t>Item de custo</t>
        </is>
      </c>
      <c r="B4" s="3" t="inlineStr">
        <is>
          <t>Qtde</t>
        </is>
      </c>
      <c r="C4" s="3" t="inlineStr">
        <is>
          <t>Unidade</t>
        </is>
      </c>
      <c r="D4" s="3" t="inlineStr">
        <is>
          <t>Valor unitário (R$)</t>
        </is>
      </c>
      <c r="E4" s="3" t="inlineStr">
        <is>
          <t>Total (R$)</t>
        </is>
      </c>
      <c r="F4" s="3" t="inlineStr">
        <is>
          <t>Fonte / observação</t>
        </is>
      </c>
    </row>
    <row r="5" ht="30" customHeight="1">
      <c r="A5" s="4" t="inlineStr">
        <is>
          <t>Passagem aérea (ida+volta)</t>
        </is>
      </c>
      <c r="B5" s="17">
        <f>PREMISSAS!$B$5</f>
        <v/>
      </c>
      <c r="C5" s="4" t="inlineStr">
        <is>
          <t>pessoas</t>
        </is>
      </c>
      <c r="D5" s="18">
        <f>PREMISSAS!$B$11</f>
        <v/>
      </c>
      <c r="E5" s="18">
        <f>IFERROR(B5*D5,0)</f>
        <v/>
      </c>
      <c r="F5" s="7" t="inlineStr">
        <is>
          <t>PREMISSA DO ALUNO. Não existe tabela de passagem — preço é livre.</t>
        </is>
      </c>
    </row>
    <row r="6" ht="30" customHeight="1">
      <c r="A6" s="4" t="inlineStr">
        <is>
          <t>Despacho — 1ª peça</t>
        </is>
      </c>
      <c r="B6" s="17">
        <f>IF(PREMISSAS!$B$7&gt;=1,PREMISSAS!$B$5*PREMISSAS!$B$6,0)</f>
        <v/>
      </c>
      <c r="C6" s="4" t="inlineStr">
        <is>
          <t>peças × trechos</t>
        </is>
      </c>
      <c r="D6" s="18">
        <f>PREMISSAS!$B$28</f>
        <v/>
      </c>
      <c r="E6" s="18">
        <f>IF(B6=0,0,IF(ISNUMBER(D6),B6*D6,"n/d — cotar"))</f>
        <v/>
      </c>
      <c r="F6" s="7" t="inlineStr">
        <is>
          <t>TABELAS_OFICIAIS (snapshot 15/07/2026). Res. ANAC 400/2016 art. 13: despacho é contrato acessório — não há franquia grátis obrigatória.</t>
        </is>
      </c>
    </row>
    <row r="7" ht="30" customHeight="1">
      <c r="A7" s="4" t="inlineStr">
        <is>
          <t>Despacho — 2ª peça</t>
        </is>
      </c>
      <c r="B7" s="17">
        <f>IF(PREMISSAS!$B$7&gt;=2,PREMISSAS!$B$5*PREMISSAS!$B$6,0)</f>
        <v/>
      </c>
      <c r="C7" s="4" t="inlineStr">
        <is>
          <t>peças × trechos</t>
        </is>
      </c>
      <c r="D7" s="18">
        <f>PREMISSAS!$B$29</f>
        <v/>
      </c>
      <c r="E7" s="18">
        <f>IF(B7=0,0,IF(ISNUMBER(D7),B7*D7,"n/d — cotar"))</f>
        <v/>
      </c>
      <c r="F7" s="7" t="inlineStr">
        <is>
          <t>TABELAS_OFICIAIS. A 2ª peça é mais cara que a 1ª.</t>
        </is>
      </c>
    </row>
    <row r="8" ht="30" customHeight="1">
      <c r="A8" s="4" t="inlineStr">
        <is>
          <t>Despacho — 3ª a 5ª peça</t>
        </is>
      </c>
      <c r="B8" s="17">
        <f>MAX(0,MIN(PREMISSAS!$B$7,5)-2)*PREMISSAS!$B$5*PREMISSAS!$B$6</f>
        <v/>
      </c>
      <c r="C8" s="4" t="inlineStr">
        <is>
          <t>peças × trechos</t>
        </is>
      </c>
      <c r="D8" s="18">
        <f>PREMISSAS!$B$30</f>
        <v/>
      </c>
      <c r="E8" s="18">
        <f>IF(B8=0,0,IF(ISNUMBER(D8),B8*D8,"n/d — cotar"))</f>
        <v/>
      </c>
      <c r="F8" s="7" t="inlineStr">
        <is>
          <t>TABELAS_OFICIAIS. Azul: máximo 5 peças de 23 kg por passageiro/trecho.</t>
        </is>
      </c>
    </row>
    <row r="9" ht="30" customHeight="1">
      <c r="A9" s="4" t="inlineStr">
        <is>
          <t>Excesso de peso (32–45 kg)</t>
        </is>
      </c>
      <c r="B9" s="17">
        <f>IF(AND(PREMISSAS!$B$8&gt;32,PREMISSAS!$B$8&lt;=45),PREMISSAS!$B$7*PREMISSAS!$B$5*PREMISSAS!$B$6,0)</f>
        <v/>
      </c>
      <c r="C9" s="4" t="inlineStr">
        <is>
          <t>volumes × trechos</t>
        </is>
      </c>
      <c r="D9" s="18">
        <f>PREMISSAS!$B$31</f>
        <v/>
      </c>
      <c r="E9" s="18">
        <f>IF(B9=0,0,IF(ISNUMBER(D9),B9*D9,"n/d — cotar"))</f>
        <v/>
      </c>
      <c r="F9" s="7" t="inlineStr">
        <is>
          <t>TABELAS_OFICIAIS. Só a GOL publica (R$ 350). A faixa 23→32 kg da GOL NÃO está aqui: duas páginas oficiais divergem (R$ 170 × R$ 275).</t>
        </is>
      </c>
    </row>
    <row r="10" ht="30" customHeight="1">
      <c r="A10" s="4" t="inlineStr">
        <is>
          <t>Traslado</t>
        </is>
      </c>
      <c r="B10" s="17">
        <f>PREMISSAS!$B$5*PREMISSAS!$B$20</f>
        <v/>
      </c>
      <c r="C10" s="4" t="inlineStr">
        <is>
          <t>pessoas × traslados</t>
        </is>
      </c>
      <c r="D10" s="18">
        <f>PREMISSAS!$B$19</f>
        <v/>
      </c>
      <c r="E10" s="18">
        <f>IFERROR(B10*D10,0)</f>
        <v/>
      </c>
      <c r="F10" s="7" t="inlineStr">
        <is>
          <t>PREMISSA DO ALUNO.</t>
        </is>
      </c>
    </row>
    <row r="11">
      <c r="A11" s="19" t="inlineStr">
        <is>
          <t>↓ linhas livres — acrescente itens aqui</t>
        </is>
      </c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8">
      <c r="A18" s="20" t="inlineStr">
        <is>
          <t>TOTAL AÉREO</t>
        </is>
      </c>
      <c r="E18" s="21">
        <f>SUM(E5:E16)</f>
        <v/>
      </c>
      <c r="F18" s="22" t="inlineStr">
        <is>
          <t>SOMA(E5:E16) — com folga de linhas de propósito.</t>
        </is>
      </c>
    </row>
    <row r="19">
      <c r="A19" s="23" t="inlineStr">
        <is>
          <t>Custo aéreo por pessoa</t>
        </is>
      </c>
      <c r="E19" s="24">
        <f>IFERROR($E$18/PREMISSAS!$B$5,0)</f>
        <v/>
      </c>
    </row>
    <row r="20">
      <c r="A20" s="23" t="inlineStr">
        <is>
          <t>Bagagem despachada — subtotal</t>
        </is>
      </c>
      <c r="E20" s="24">
        <f>SUM(E6:E9)</f>
        <v/>
      </c>
      <c r="F20" s="22" t="inlineStr">
        <is>
          <t>É este número que o fretamento faz desaparecer.</t>
        </is>
      </c>
    </row>
    <row r="22">
      <c r="A22" s="12" t="inlineStr">
        <is>
          <t>ALERTAS AUTOMÁTICOS</t>
        </is>
      </c>
    </row>
    <row r="23" ht="26" customHeight="1">
      <c r="A23" s="25">
        <f>IF(COUNTA(E5:E16)&gt;COUNT(E5:E16),"⚠ Há item de bagagem SEM preço oficial publicado (a cia escolhida não publica). A SOMA está IGNORANDO esse item em silêncio — cote com a companhia antes de fechar.","ok — todos os itens têm preço oficial")</f>
        <v/>
      </c>
    </row>
    <row r="24" ht="26" customHeight="1">
      <c r="A24" s="25">
        <f>IF(AND(PREMISSAS!$B$8&gt;23,PREMISSAS!$B$8&lt;=32),"⚠ Faixa 23–32 kg: duas páginas oficiais da GOL divergem (R$ 170 × R$ 275). Dado em conflito não vira número — cote com a cia.","")</f>
        <v/>
      </c>
    </row>
    <row r="25" ht="26" customHeight="1">
      <c r="A25" s="25">
        <f>IF(PREMISSAS!$B$8&gt;45,"⛔ RECUSADO: acima de 45 kg a cia não transporta como bagagem — vira contrato de CARGA (Res. ANAC 400/2016, art. 15).","")</f>
        <v/>
      </c>
    </row>
    <row r="26" ht="26" customHeight="1">
      <c r="A26" s="25">
        <f>IF(PREMISSAS!$B$9="LATAM","⚠ LATAM não publica preço de despacho (é dinâmico, varia por rota e antecedência). A planilha se recusa a inventar — cote.","")</f>
        <v/>
      </c>
    </row>
    <row r="27" ht="26" customHeight="1">
      <c r="A27" s="25">
        <f>IF(PREMISSAS!$B$6&lt;2,"⚠ Você está pagando bagagem em 1 trecho só. Despacho se paga POR TRECHO: ida e volta = 2.","")</f>
        <v/>
      </c>
    </row>
  </sheetData>
  <mergeCells count="7">
    <mergeCell ref="A24:F24"/>
    <mergeCell ref="A2:F2"/>
    <mergeCell ref="A1:F1"/>
    <mergeCell ref="A23:F23"/>
    <mergeCell ref="A27:F27"/>
    <mergeCell ref="A26:F26"/>
    <mergeCell ref="A25:F2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8" customWidth="1" min="4" max="4"/>
    <col width="16" customWidth="1" min="5" max="5"/>
    <col width="58" customWidth="1" min="6" max="6"/>
  </cols>
  <sheetData>
    <row r="1" ht="26" customHeight="1">
      <c r="A1" s="1" t="inlineStr">
        <is>
          <t>CUSTO RODOVIÁRIO — linha regular</t>
        </is>
      </c>
    </row>
    <row r="2">
      <c r="A2" s="2" t="inlineStr">
        <is>
          <t>A lição desta aba está nas linhas 7 e 8. O ônibus parece barato porque quase todo orçamento para na passagem. A viagem longa gera dia de equipe e noite de hotel — e isso é dinheiro seu.</t>
        </is>
      </c>
    </row>
    <row r="4" ht="30" customHeight="1">
      <c r="A4" s="3" t="inlineStr">
        <is>
          <t>Item de custo</t>
        </is>
      </c>
      <c r="B4" s="3" t="inlineStr">
        <is>
          <t>Qtde</t>
        </is>
      </c>
      <c r="C4" s="3" t="inlineStr">
        <is>
          <t>Unidade</t>
        </is>
      </c>
      <c r="D4" s="3" t="inlineStr">
        <is>
          <t>Valor unitário (R$)</t>
        </is>
      </c>
      <c r="E4" s="3" t="inlineStr">
        <is>
          <t>Total (R$)</t>
        </is>
      </c>
      <c r="F4" s="3" t="inlineStr">
        <is>
          <t>Fonte / observação</t>
        </is>
      </c>
    </row>
    <row r="5" ht="30" customHeight="1">
      <c r="A5" s="4" t="inlineStr">
        <is>
          <t>Passagem rodoviária (ida+volta)</t>
        </is>
      </c>
      <c r="B5" s="17">
        <f>PREMISSAS!$B$5</f>
        <v/>
      </c>
      <c r="C5" s="4" t="inlineStr">
        <is>
          <t>pessoas</t>
        </is>
      </c>
      <c r="D5" s="18">
        <f>PREMISSAS!$B$12</f>
        <v/>
      </c>
      <c r="E5" s="18">
        <f>IFERROR(B5*D5,0)</f>
        <v/>
      </c>
      <c r="F5" s="7" t="inlineStr">
        <is>
          <t>PREMISSA DO ALUNO.</t>
        </is>
      </c>
    </row>
    <row r="6" ht="30" customHeight="1">
      <c r="A6" s="4" t="inlineStr">
        <is>
          <t>Excesso de bagagem (verba)</t>
        </is>
      </c>
      <c r="B6" s="17" t="n">
        <v>1</v>
      </c>
      <c r="C6" s="4" t="inlineStr">
        <is>
          <t>verba</t>
        </is>
      </c>
      <c r="D6" s="18">
        <f>PREMISSAS!$B$23</f>
        <v/>
      </c>
      <c r="E6" s="18">
        <f>IFERROR(B6*D6,0)</f>
        <v/>
      </c>
      <c r="F6" s="7" t="inlineStr">
        <is>
          <t>SEM TABELA. Res. ANTT 6.033/2023: excesso virou serviço acessório — oferta facultativa e PREÇO LIVRE, e a empresa pode simplesmente RECUSAR. Franquia mínima: 30 kg / 300 dm³ / maior dimensão 1 m.</t>
        </is>
      </c>
    </row>
    <row r="7" ht="30" customHeight="1">
      <c r="A7" s="4" t="inlineStr">
        <is>
          <t>Diária extra da equipe (gerada pela estrada)</t>
        </is>
      </c>
      <c r="B7" s="17">
        <f>PREMISSAS!$B$5*PREMISSAS!$B$32</f>
        <v/>
      </c>
      <c r="C7" s="4" t="inlineStr">
        <is>
          <t>pessoas × dias</t>
        </is>
      </c>
      <c r="D7" s="18">
        <f>PREMISSAS!$B$17</f>
        <v/>
      </c>
      <c r="E7" s="18">
        <f>IFERROR(B7*D7,0)</f>
        <v/>
      </c>
      <c r="F7" s="7" t="inlineStr">
        <is>
          <t>O dia a mais na estrada é dia de cachê. Esta é a linha que some do orçamento de ônibus.</t>
        </is>
      </c>
    </row>
    <row r="8" ht="30" customHeight="1">
      <c r="A8" s="4" t="inlineStr">
        <is>
          <t>Hotel extra (pernoite gerado pela estrada)</t>
        </is>
      </c>
      <c r="B8" s="17">
        <f>PREMISSAS!$B$5*PREMISSAS!$B$33</f>
        <v/>
      </c>
      <c r="C8" s="4" t="inlineStr">
        <is>
          <t>pessoas × noites</t>
        </is>
      </c>
      <c r="D8" s="18">
        <f>PREMISSAS!$B$18</f>
        <v/>
      </c>
      <c r="E8" s="18">
        <f>IFERROR(B8*D8,0)</f>
        <v/>
      </c>
      <c r="F8" s="7" t="inlineStr">
        <is>
          <t>Idem. Se a estrada empurra a chegada para outro dia, alguém dorme em algum lugar.</t>
        </is>
      </c>
    </row>
    <row r="9" ht="30" customHeight="1">
      <c r="A9" s="4" t="inlineStr">
        <is>
          <t>Traslado</t>
        </is>
      </c>
      <c r="B9" s="17">
        <f>PREMISSAS!$B$5*PREMISSAS!$B$21</f>
        <v/>
      </c>
      <c r="C9" s="4" t="inlineStr">
        <is>
          <t>pessoas × traslados</t>
        </is>
      </c>
      <c r="D9" s="18">
        <f>PREMISSAS!$B$19</f>
        <v/>
      </c>
      <c r="E9" s="18">
        <f>IFERROR(B9*D9,0)</f>
        <v/>
      </c>
      <c r="F9" s="7" t="inlineStr">
        <is>
          <t>PREMISSA DO ALUNO.</t>
        </is>
      </c>
    </row>
    <row r="10">
      <c r="A10" s="19" t="inlineStr">
        <is>
          <t>↓ linhas livres — acrescente itens aqui</t>
        </is>
      </c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8">
      <c r="A18" s="20" t="inlineStr">
        <is>
          <t>TOTAL RODOVIÁRIO</t>
        </is>
      </c>
      <c r="E18" s="21">
        <f>SUM(E5:E16)</f>
        <v/>
      </c>
      <c r="F18" s="22" t="inlineStr">
        <is>
          <t>SOMA(E5:E16) — com folga de linhas de propósito.</t>
        </is>
      </c>
    </row>
    <row r="19">
      <c r="A19" s="23" t="inlineStr">
        <is>
          <t>Custo rodoviário por pessoa</t>
        </is>
      </c>
      <c r="E19" s="24">
        <f>IFERROR($E$18/PREMISSAS!$B$5,0)</f>
        <v/>
      </c>
    </row>
    <row r="21">
      <c r="A21" s="12" t="inlineStr">
        <is>
          <t>A ILUSÃO DO ÔNIBUS BARATO</t>
        </is>
      </c>
    </row>
    <row r="22">
      <c r="A22" t="inlineStr">
        <is>
          <t>Total se você ESQUECER a diária e o hotel (o orçamento errado)</t>
        </is>
      </c>
      <c r="E22" s="26">
        <f>$E$18-$E$7-$E$8</f>
        <v/>
      </c>
    </row>
    <row r="23">
      <c r="A23" t="inlineStr">
        <is>
          <t>Quanto você teria escondido de si mesmo</t>
        </is>
      </c>
      <c r="E23" s="27">
        <f>$E$7+$E$8</f>
        <v/>
      </c>
    </row>
    <row r="24">
      <c r="A24" t="inlineStr">
        <is>
          <t>…em % do total rodoviário</t>
        </is>
      </c>
      <c r="E24" s="28">
        <f>IFERROR(($E$7+$E$8)/$E$18,0)</f>
        <v/>
      </c>
    </row>
    <row r="25">
      <c r="A25" s="29">
        <f>IF($E$18-$E$7-$E$8&lt;AEREO!$E$18,"⚠ Sem a diária e o hotel, o ônibus PARECE mais barato que o avião. Com eles, olhe o RESUMO antes de decidir.","")</f>
        <v/>
      </c>
    </row>
  </sheetData>
  <mergeCells count="3">
    <mergeCell ref="A2:F2"/>
    <mergeCell ref="A1:F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8" customWidth="1" min="4" max="4"/>
    <col width="16" customWidth="1" min="5" max="5"/>
    <col width="58" customWidth="1" min="6" max="6"/>
  </cols>
  <sheetData>
    <row r="1" ht="26" customHeight="1">
      <c r="A1" s="1" t="inlineStr">
        <is>
          <t>CUSTO FRETAMENTO — eventual, circuito fechado (Res. ANTT 4.777/2015)</t>
        </is>
      </c>
    </row>
    <row r="2">
      <c r="A2" s="2" t="inlineStr">
        <is>
          <t>Fretamento EVENTUAL é a modalidade de equipe de evento (congressos, competições). Circuito fechado: o grupo sai da origem, percorre e volta à origem no mesmo veículo. Custo é do CONTRATO, não por pessoa — e não há venda de bilhete individual (é proibida).</t>
        </is>
      </c>
    </row>
    <row r="4" ht="30" customHeight="1">
      <c r="A4" s="3" t="inlineStr">
        <is>
          <t>Item de custo</t>
        </is>
      </c>
      <c r="B4" s="3" t="inlineStr">
        <is>
          <t>Qtde</t>
        </is>
      </c>
      <c r="C4" s="3" t="inlineStr">
        <is>
          <t>Unidade</t>
        </is>
      </c>
      <c r="D4" s="3" t="inlineStr">
        <is>
          <t>Valor unitário (R$)</t>
        </is>
      </c>
      <c r="E4" s="3" t="inlineStr">
        <is>
          <t>Total (R$)</t>
        </is>
      </c>
      <c r="F4" s="3" t="inlineStr">
        <is>
          <t>Fonte / observação</t>
        </is>
      </c>
    </row>
    <row r="5" ht="30" customHeight="1">
      <c r="A5" s="4" t="inlineStr">
        <is>
          <t>Fretamento eventual (veículo fechado, ida+volta)</t>
        </is>
      </c>
      <c r="B5" s="17" t="n">
        <v>1</v>
      </c>
      <c r="C5" s="4" t="inlineStr">
        <is>
          <t>contrato</t>
        </is>
      </c>
      <c r="D5" s="18">
        <f>PREMISSAS!$B$13</f>
        <v/>
      </c>
      <c r="E5" s="18">
        <f>IFERROR(B5*D5,0)</f>
        <v/>
      </c>
      <c r="F5" s="7" t="inlineStr">
        <is>
          <t>PREMISSA DO ALUNO — coloque a sua cotação. Exija Termo de Autorização da ANTT (consulte o CNPJ no site), Licença de Viagem e relação de passageiros a bordo (art. 23).</t>
        </is>
      </c>
    </row>
    <row r="6" ht="30" customHeight="1">
      <c r="A6" s="4" t="inlineStr">
        <is>
          <t>Bilhete individual</t>
        </is>
      </c>
      <c r="B6" s="17" t="n">
        <v>0</v>
      </c>
      <c r="C6" s="4" t="inlineStr">
        <is>
          <t>bilhetes</t>
        </is>
      </c>
      <c r="D6" s="18" t="n">
        <v>0</v>
      </c>
      <c r="E6" s="18">
        <f>IFERROR(B6*D6,0)</f>
        <v/>
      </c>
      <c r="F6" s="7" t="inlineStr">
        <is>
          <t>Res. ANTT 4.777/2015: a venda de bilhete individual no fretamento é PROIBIDA. Fica zero de propósito.</t>
        </is>
      </c>
    </row>
    <row r="7" ht="30" customHeight="1">
      <c r="A7" s="4" t="inlineStr">
        <is>
          <t>Diária extra da equipe (gerada pela estrada)</t>
        </is>
      </c>
      <c r="B7" s="17">
        <f>PREMISSAS!$B$5*PREMISSAS!$B$32</f>
        <v/>
      </c>
      <c r="C7" s="4" t="inlineStr">
        <is>
          <t>pessoas × dias</t>
        </is>
      </c>
      <c r="D7" s="18">
        <f>PREMISSAS!$B$17</f>
        <v/>
      </c>
      <c r="E7" s="18">
        <f>IFERROR(B7*D7,0)</f>
        <v/>
      </c>
      <c r="F7" s="7" t="inlineStr">
        <is>
          <t>A estrada é a mesma do ônibus de linha: o dia extra continua existindo.</t>
        </is>
      </c>
    </row>
    <row r="8" ht="30" customHeight="1">
      <c r="A8" s="4" t="inlineStr">
        <is>
          <t>Hotel extra (pernoite gerado pela estrada)</t>
        </is>
      </c>
      <c r="B8" s="17">
        <f>PREMISSAS!$B$5*PREMISSAS!$B$33</f>
        <v/>
      </c>
      <c r="C8" s="4" t="inlineStr">
        <is>
          <t>pessoas × noites</t>
        </is>
      </c>
      <c r="D8" s="18">
        <f>PREMISSAS!$B$18</f>
        <v/>
      </c>
      <c r="E8" s="18">
        <f>IFERROR(B8*D8,0)</f>
        <v/>
      </c>
      <c r="F8" s="7" t="inlineStr">
        <is>
          <t>Idem.</t>
        </is>
      </c>
    </row>
    <row r="9" ht="30" customHeight="1">
      <c r="A9" s="4" t="inlineStr">
        <is>
          <t>Traslado</t>
        </is>
      </c>
      <c r="B9" s="17">
        <f>PREMISSAS!$B$5*PREMISSAS!$B$22</f>
        <v/>
      </c>
      <c r="C9" s="4" t="inlineStr">
        <is>
          <t>pessoas × traslados</t>
        </is>
      </c>
      <c r="D9" s="18">
        <f>PREMISSAS!$B$19</f>
        <v/>
      </c>
      <c r="E9" s="18">
        <f>IFERROR(B9*D9,0)</f>
        <v/>
      </c>
      <c r="F9" s="7" t="inlineStr">
        <is>
          <t>Premissa 0 por padrão: o fretado costuma ser porta a porta. Se não for, ajuste em PREMISSAS!B22.</t>
        </is>
      </c>
    </row>
    <row r="10">
      <c r="A10" s="19" t="inlineStr">
        <is>
          <t>↓ linhas livres — acrescente itens aqui</t>
        </is>
      </c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8">
      <c r="A18" s="20" t="inlineStr">
        <is>
          <t>TOTAL FRETAMENTO</t>
        </is>
      </c>
      <c r="E18" s="21">
        <f>SUM(E5:E16)</f>
        <v/>
      </c>
      <c r="F18" s="22" t="inlineStr">
        <is>
          <t>SOMA(E5:E16) — com folga de linhas de propósito.</t>
        </is>
      </c>
    </row>
    <row r="19">
      <c r="A19" s="23" t="inlineStr">
        <is>
          <t>Custo do fretamento por pessoa</t>
        </is>
      </c>
      <c r="E19" s="24">
        <f>IFERROR($E$18/PREMISSAS!$B$5,0)</f>
        <v/>
      </c>
    </row>
    <row r="21">
      <c r="A21" s="12" t="inlineStr">
        <is>
          <t>O QUE O FRETAMENTO DISPENSA (informativo — não entra no total)</t>
        </is>
      </c>
    </row>
    <row r="22">
      <c r="A22" t="inlineStr">
        <is>
          <t>Bagagem despachada que você deixa de pagar (= subtotal de despacho do AÉREO)</t>
        </is>
      </c>
      <c r="E22" s="30">
        <f>AEREO!$E$20</f>
        <v/>
      </c>
      <c r="F22" s="22" t="inlineStr">
        <is>
          <t>No fretado o bagageiro é do veículo que você contratou — não há tabela de peça despachada por passageiro nem cobrança por trecho.</t>
        </is>
      </c>
    </row>
    <row r="23">
      <c r="A23" t="inlineStr">
        <is>
          <t>Traslados que você deixa de pagar em relação ao aéreo</t>
        </is>
      </c>
      <c r="E23" s="30">
        <f>IFERROR((PREMISSAS!$B$20-PREMISSAS!$B$22)*PREMISSAS!$B$5*PREMISSAS!$B$19,0)</f>
        <v/>
      </c>
    </row>
    <row r="24">
      <c r="A24" t="inlineStr">
        <is>
          <t>Passageiros que você pode trocar antes da partida (até 20%)</t>
        </is>
      </c>
      <c r="E24" s="31">
        <f>PREMISSAS!$B$34</f>
        <v/>
      </c>
      <c r="F24" s="22" t="inlineStr">
        <is>
          <t>Res. ANTT 4.777/2015, art. 36 — margem real para troca de equipe.</t>
        </is>
      </c>
    </row>
    <row r="26" ht="44" customHeight="1">
      <c r="A26" s="32" t="inlineStr">
        <is>
          <t>Antes de assinar: consulte a autorização da empresa por CNPJ no site da ANTT, confira o selo no ônibus, exija a Licença de Viagem e inspecione veículo e motorista. Documentos a bordo (art. 23): Licença de Viagem + relação de passageiros; também CRLV, CSV e apólice do seguro RC (art. 31 §3º). 'CITV' não existe — se alguém te mostrar um, é papel inventado.</t>
        </is>
      </c>
    </row>
  </sheetData>
  <mergeCells count="3">
    <mergeCell ref="A26:F26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 ht="26" customHeight="1">
      <c r="A1" s="1" t="inlineStr">
        <is>
          <t>RESUMO — qual modal, e cabe no orçamento?</t>
        </is>
      </c>
    </row>
    <row r="2">
      <c r="A2" s="2" t="inlineStr">
        <is>
          <t>Nada aqui é digitado. Tudo aponta para AEREO, RODOVIARIO, FRETAMENTO e PREMISSAS.</t>
        </is>
      </c>
    </row>
    <row r="4" ht="30" customHeight="1">
      <c r="A4" s="3" t="inlineStr">
        <is>
          <t>Indicador</t>
        </is>
      </c>
      <c r="B4" s="3" t="inlineStr">
        <is>
          <t>AÉREO</t>
        </is>
      </c>
      <c r="C4" s="3" t="inlineStr">
        <is>
          <t>RODOVIÁRIO</t>
        </is>
      </c>
      <c r="D4" s="3" t="inlineStr">
        <is>
          <t>FRETAMENTO</t>
        </is>
      </c>
      <c r="E4" s="3" t="inlineStr">
        <is>
          <t>Observação</t>
        </is>
      </c>
    </row>
    <row r="5" ht="26" customHeight="1">
      <c r="A5" s="33" t="inlineStr">
        <is>
          <t>Custo total (R$)</t>
        </is>
      </c>
      <c r="B5" s="34">
        <f>AEREO!$E$18</f>
        <v/>
      </c>
      <c r="C5" s="34">
        <f>RODOVIARIO!$E$18</f>
        <v/>
      </c>
      <c r="D5" s="34">
        <f>FRETAMENTO!$E$18</f>
        <v/>
      </c>
      <c r="E5" s="7" t="inlineStr">
        <is>
          <t>Cada um vem da SOMA da sua aba.</t>
        </is>
      </c>
    </row>
    <row r="6" ht="26" customHeight="1">
      <c r="A6" s="33" t="inlineStr">
        <is>
          <t>Custo por pessoa (R$)</t>
        </is>
      </c>
      <c r="B6" s="34">
        <f>IFERROR(B5/PREMISSAS!$B$5,0)</f>
        <v/>
      </c>
      <c r="C6" s="34">
        <f>IFERROR(C5/PREMISSAS!$B$5,0)</f>
        <v/>
      </c>
      <c r="D6" s="34">
        <f>IFERROR(D5/PREMISSAS!$B$5,0)</f>
        <v/>
      </c>
      <c r="E6" s="7" t="inlineStr"/>
    </row>
    <row r="7" ht="26" customHeight="1">
      <c r="A7" s="33" t="inlineStr">
        <is>
          <t>Horas porta a porta</t>
        </is>
      </c>
      <c r="B7" s="35">
        <f>PREMISSAS!$B$15</f>
        <v/>
      </c>
      <c r="C7" s="35">
        <f>PREMISSAS!$B$16</f>
        <v/>
      </c>
      <c r="D7" s="35">
        <f>PREMISSAS!$B$16</f>
        <v/>
      </c>
      <c r="E7" s="7" t="inlineStr">
        <is>
          <t>Estrada é estrada: linha e fretado gastam o mesmo tempo.</t>
        </is>
      </c>
    </row>
    <row r="8" ht="26" customHeight="1">
      <c r="A8" s="33" t="inlineStr">
        <is>
          <t>Horas-equipe consumidas (ida+volta)</t>
        </is>
      </c>
      <c r="B8" s="36">
        <f>B7*PREMISSAS!$B$5*PREMISSAS!$B$6</f>
        <v/>
      </c>
      <c r="C8" s="36">
        <f>C7*PREMISSAS!$B$5*PREMISSAS!$B$6</f>
        <v/>
      </c>
      <c r="D8" s="36">
        <f>D7*PREMISSAS!$B$5*PREMISSAS!$B$6</f>
        <v/>
      </c>
      <c r="E8" s="7" t="inlineStr">
        <is>
          <t>Tempo de gente é custo, mesmo quando não vira linha.</t>
        </is>
      </c>
    </row>
    <row r="9" ht="26" customHeight="1">
      <c r="A9" s="33" t="inlineStr">
        <is>
          <t>Cabe no orçamento?</t>
        </is>
      </c>
      <c r="B9" s="4">
        <f>IF(B5&lt;=PREMISSAS!$B$24,"CABE","ESTOURA")</f>
        <v/>
      </c>
      <c r="C9" s="4">
        <f>IF(C5&lt;=PREMISSAS!$B$24,"CABE","ESTOURA")</f>
        <v/>
      </c>
      <c r="D9" s="4">
        <f>IF(D5&lt;=PREMISSAS!$B$24,"CABE","ESTOURA")</f>
        <v/>
      </c>
      <c r="E9" s="7" t="inlineStr">
        <is>
          <t>Contra PREMISSAS!B24.</t>
        </is>
      </c>
    </row>
    <row r="10" ht="26" customHeight="1">
      <c r="A10" s="33" t="inlineStr">
        <is>
          <t>Folga contra o orçamento (R$)</t>
        </is>
      </c>
      <c r="B10" s="18">
        <f>PREMISSAS!$B$24-B5</f>
        <v/>
      </c>
      <c r="C10" s="18">
        <f>PREMISSAS!$B$24-C5</f>
        <v/>
      </c>
      <c r="D10" s="18">
        <f>PREMISSAS!$B$24-D5</f>
        <v/>
      </c>
      <c r="E10" s="7" t="inlineStr">
        <is>
          <t>Negativo = estourou.</t>
        </is>
      </c>
    </row>
    <row r="11" ht="26" customHeight="1">
      <c r="A11" s="33" t="inlineStr">
        <is>
          <t>Folga contra o orçamento (%)</t>
        </is>
      </c>
      <c r="B11" s="37">
        <f>IFERROR((PREMISSAS!$B$24-B5)/PREMISSAS!$B$24,0)</f>
        <v/>
      </c>
      <c r="C11" s="37">
        <f>IFERROR((PREMISSAS!$B$24-C5)/PREMISSAS!$B$24,0)</f>
        <v/>
      </c>
      <c r="D11" s="37">
        <f>IFERROR((PREMISSAS!$B$24-D5)/PREMISSAS!$B$24,0)</f>
        <v/>
      </c>
      <c r="E11" s="7" t="inlineStr"/>
    </row>
    <row r="13">
      <c r="A13" s="12" t="inlineStr">
        <is>
          <t>COMPARAÇÃO</t>
        </is>
      </c>
    </row>
    <row r="14">
      <c r="A14" s="4" t="inlineStr">
        <is>
          <t>Menor custo entre os três (R$)</t>
        </is>
      </c>
      <c r="B14" s="38">
        <f>MIN($B$5:$D$5)</f>
        <v/>
      </c>
      <c r="E14" s="39" t="inlineStr"/>
    </row>
    <row r="15">
      <c r="A15" s="4" t="inlineStr">
        <is>
          <t>Diferença AÉREO − RODOVIÁRIO (R$)</t>
        </is>
      </c>
      <c r="B15" s="38">
        <f>$B$5-$C$5</f>
        <v/>
      </c>
      <c r="E15" s="39" t="inlineStr">
        <is>
          <t>Positivo = o aéreo custa isso a mais.</t>
        </is>
      </c>
    </row>
    <row r="16">
      <c r="A16" s="4" t="inlineStr">
        <is>
          <t>Diferença AÉREO − RODOVIÁRIO (%)</t>
        </is>
      </c>
      <c r="B16" s="40">
        <f>IFERROR(($B$5-$C$5)/$C$5,0)</f>
        <v/>
      </c>
      <c r="E16" s="39" t="inlineStr">
        <is>
          <t>Sobre o rodoviário.</t>
        </is>
      </c>
    </row>
    <row r="17">
      <c r="A17" s="4" t="inlineStr">
        <is>
          <t>Diferença AÉREO − FRETAMENTO (R$)</t>
        </is>
      </c>
      <c r="B17" s="38">
        <f>$B$5-$D$5</f>
        <v/>
      </c>
      <c r="E17" s="39" t="inlineStr"/>
    </row>
    <row r="18">
      <c r="A18" s="4" t="inlineStr">
        <is>
          <t>Diferença AÉREO − FRETAMENTO (%)</t>
        </is>
      </c>
      <c r="B18" s="40">
        <f>IFERROR(($B$5-$D$5)/$D$5,0)</f>
        <v/>
      </c>
      <c r="E18" s="39" t="inlineStr">
        <is>
          <t>Sobre o fretamento.</t>
        </is>
      </c>
    </row>
    <row r="19">
      <c r="A19" s="4" t="inlineStr">
        <is>
          <t>Diferença RODOVIÁRIO − FRETAMENTO (R$)</t>
        </is>
      </c>
      <c r="B19" s="38">
        <f>$C$5-$D$5</f>
        <v/>
      </c>
      <c r="E19" s="39" t="inlineStr"/>
    </row>
    <row r="20">
      <c r="A20" s="4" t="inlineStr">
        <is>
          <t>Diferença RODOVIÁRIO − FRETAMENTO (%)</t>
        </is>
      </c>
      <c r="B20" s="40">
        <f>IFERROR(($C$5-$D$5)/$D$5,0)</f>
        <v/>
      </c>
      <c r="E20" s="39" t="inlineStr"/>
    </row>
    <row r="22">
      <c r="A22" s="12" t="inlineStr">
        <is>
          <t>VEREDITO</t>
        </is>
      </c>
    </row>
    <row r="23" ht="30" customHeight="1">
      <c r="A23" s="23" t="inlineStr">
        <is>
          <t>Avião x ônibus de linha</t>
        </is>
      </c>
      <c r="B23" s="41">
        <f>IF($B$5&lt;$C$5,"AÉREO mais barato","RODOVIÁRIO mais barato")</f>
        <v/>
      </c>
    </row>
    <row r="24" ht="30" customHeight="1">
      <c r="A24" s="23" t="inlineStr">
        <is>
          <t>O mais barato dos três</t>
        </is>
      </c>
      <c r="B24" s="41">
        <f>IF($B$5=MIN($B$5:$D$5),"AÉREO é o mais barato",IF($C$5=MIN($B$5:$D$5),"RODOVIÁRIO é o mais barato","FRETAMENTO é o mais barato"))</f>
        <v/>
      </c>
    </row>
    <row r="25" ht="30" customHeight="1">
      <c r="A25" s="23" t="inlineStr">
        <is>
          <t>Alguma opção cabe no orçamento?</t>
        </is>
      </c>
      <c r="B25" s="41">
        <f>IF(MIN($B$5:$D$5)&lt;=PREMISSAS!$B$24,"SIM — a mais barata cabe, com folga de "&amp;TEXT(PREMISSAS!$B$24-MIN($B$5:$D$5),"R$ #,##0.00"),"NÃO — nem a mais barata cabe. Falta "&amp;TEXT(MIN($B$5:$D$5)-PREMISSAS!$B$24,"R$ #,##0.00"))</f>
        <v/>
      </c>
    </row>
    <row r="26" ht="30" customHeight="1">
      <c r="A26" s="23" t="inlineStr">
        <is>
          <t>Ilusão do ônibus barato (o que a diária + hotel escondiam)</t>
        </is>
      </c>
      <c r="B26" s="41">
        <f>"Sem diária e hotel o ônibus daria "&amp;TEXT(RODOVIARIO!$E$22,"R$ #,##0.00")&amp;" — ou seja, você esconderia "&amp;TEXT(RODOVIARIO!$E$23,"R$ #,##0.00")&amp;" de si mesmo."</f>
        <v/>
      </c>
    </row>
    <row r="27" ht="30" customHeight="1">
      <c r="A27" s="23" t="inlineStr">
        <is>
          <t>Preço oficial de bagagem</t>
        </is>
      </c>
      <c r="B27" s="41">
        <f>AEREO!$A$23</f>
        <v/>
      </c>
    </row>
    <row r="29" ht="44" customHeight="1">
      <c r="A29" s="42" t="inlineStr">
        <is>
          <t>Custo não é a única variável: o aéreo devolve horas de equipe e reduz risco de atraso na passagem de som; o fretado carrega volume que o aéreo recusa (a Azul, por exemplo, trata amplificador e caixa acústica como artigo perigoso — só até 95 cm somados e 1 por passageiro; acima disso vira Azul Cargo). Decida com o número na mão, não no lugar dele.</t>
        </is>
      </c>
    </row>
  </sheetData>
  <mergeCells count="8">
    <mergeCell ref="B23:E23"/>
    <mergeCell ref="B26:E26"/>
    <mergeCell ref="B27:E27"/>
    <mergeCell ref="A29:E29"/>
    <mergeCell ref="A2:E2"/>
    <mergeCell ref="A1:E1"/>
    <mergeCell ref="B25:E25"/>
    <mergeCell ref="B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30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</cols>
  <sheetData>
    <row r="1" ht="26" customHeight="1">
      <c r="A1" s="1" t="inlineStr">
        <is>
          <t>TABELAS OFICIAIS - snapshot 15/07/2026 (nao edite: dado de fonte)</t>
        </is>
      </c>
    </row>
    <row r="2" ht="28" customHeight="1">
      <c r="A2" s="2" t="inlineStr">
        <is>
          <t>Preco de bagagem NAO e tabelado por lei: e contrato acessorio (Res. ANAC 400/2016, art. 13) e preco livre. Os valores abaixo sao SNAPSHOT de 15/07/2026 das paginas oficiais das cias e mudam sem aviso. Confira antes de fechar orcamento.</t>
        </is>
      </c>
    </row>
    <row r="4">
      <c r="A4" s="12" t="inlineStr">
        <is>
          <t>A) DESPACHO NACIONAL - preco por peca, por trecho (R$)</t>
        </is>
      </c>
    </row>
    <row r="5" ht="30" customHeight="1">
      <c r="A5" s="3" t="inlineStr">
        <is>
          <t>Chave (cia|antecedencia)</t>
        </is>
      </c>
      <c r="B5" s="3" t="inlineStr">
        <is>
          <t>Companhia</t>
        </is>
      </c>
      <c r="C5" s="3" t="inlineStr">
        <is>
          <t>Antecedencia</t>
        </is>
      </c>
      <c r="D5" s="3" t="inlineStr">
        <is>
          <t>1a peca (R$)</t>
        </is>
      </c>
      <c r="E5" s="3" t="inlineStr">
        <is>
          <t>2a peca (R$)</t>
        </is>
      </c>
      <c r="F5" s="3" t="inlineStr">
        <is>
          <t>3a a 5a peca (R$)</t>
        </is>
      </c>
      <c r="G5" s="3" t="inlineStr">
        <is>
          <t>Fonte</t>
        </is>
      </c>
      <c r="H5" s="3" t="inlineStr">
        <is>
          <t>Snapshot</t>
        </is>
      </c>
    </row>
    <row r="6">
      <c r="A6" s="4" t="inlineStr">
        <is>
          <t>GOL|48h ou mais</t>
        </is>
      </c>
      <c r="B6" s="4" t="inlineStr">
        <is>
          <t>GOL</t>
        </is>
      </c>
      <c r="C6" s="4" t="inlineStr">
        <is>
          <t>48h ou mais</t>
        </is>
      </c>
      <c r="D6" s="43" t="n">
        <v>130</v>
      </c>
      <c r="E6" s="43" t="n">
        <v>155</v>
      </c>
      <c r="F6" s="43" t="n">
        <v>210</v>
      </c>
      <c r="G6" s="44" t="inlineStr">
        <is>
          <t>GOL - tabela publicada de bagagem nacional (_FATOS-VIAGEM.md, sec. 2)</t>
        </is>
      </c>
      <c r="H6" s="4" t="inlineStr">
        <is>
          <t>snapshot 15/07/2026</t>
        </is>
      </c>
    </row>
    <row r="7">
      <c r="A7" s="4" t="inlineStr">
        <is>
          <t>GOL|menos de 48h</t>
        </is>
      </c>
      <c r="B7" s="4" t="inlineStr">
        <is>
          <t>GOL</t>
        </is>
      </c>
      <c r="C7" s="4" t="inlineStr">
        <is>
          <t>menos de 48h</t>
        </is>
      </c>
      <c r="D7" s="43" t="n">
        <v>165</v>
      </c>
      <c r="E7" s="43" t="n">
        <v>200</v>
      </c>
      <c r="F7" s="43" t="n">
        <v>280</v>
      </c>
      <c r="G7" s="44" t="inlineStr">
        <is>
          <t>GOL - tabela publicada de bagagem nacional (_FATOS-VIAGEM.md, sec. 2)</t>
        </is>
      </c>
      <c r="H7" s="4" t="inlineStr">
        <is>
          <t>snapshot 15/07/2026</t>
        </is>
      </c>
    </row>
    <row r="8">
      <c r="A8" s="4" t="inlineStr">
        <is>
          <t>GOL|no aeroporto</t>
        </is>
      </c>
      <c r="B8" s="4" t="inlineStr">
        <is>
          <t>GOL</t>
        </is>
      </c>
      <c r="C8" s="4" t="inlineStr">
        <is>
          <t>no aeroporto</t>
        </is>
      </c>
      <c r="D8" s="43" t="n">
        <v>180</v>
      </c>
      <c r="E8" s="43" t="n">
        <v>200</v>
      </c>
      <c r="F8" s="43" t="n">
        <v>280</v>
      </c>
      <c r="G8" s="44" t="inlineStr">
        <is>
          <t>GOL - tabela publicada de bagagem nacional (_FATOS-VIAGEM.md, sec. 2)</t>
        </is>
      </c>
      <c r="H8" s="4" t="inlineStr">
        <is>
          <t>snapshot 15/07/2026</t>
        </is>
      </c>
    </row>
    <row r="9">
      <c r="A9" s="4" t="inlineStr">
        <is>
          <t>Azul|48h ou mais</t>
        </is>
      </c>
      <c r="B9" s="4" t="inlineStr">
        <is>
          <t>Azul</t>
        </is>
      </c>
      <c r="C9" s="4" t="inlineStr">
        <is>
          <t>48h ou mais</t>
        </is>
      </c>
      <c r="D9" s="43" t="n">
        <v>175</v>
      </c>
      <c r="E9" s="43" t="n">
        <v>200</v>
      </c>
      <c r="F9" s="43" t="n">
        <v>220</v>
      </c>
      <c r="G9" s="44" t="inlineStr">
        <is>
          <t>Azul - tabela publicada Brasil (_FATOS-VIAGEM.md, sec. 2)</t>
        </is>
      </c>
      <c r="H9" s="4" t="inlineStr">
        <is>
          <t>snapshot 15/07/2026</t>
        </is>
      </c>
    </row>
    <row r="10">
      <c r="A10" s="4" t="inlineStr">
        <is>
          <t>Azul|menos de 48h</t>
        </is>
      </c>
      <c r="B10" s="4" t="inlineStr">
        <is>
          <t>Azul</t>
        </is>
      </c>
      <c r="C10" s="4" t="inlineStr">
        <is>
          <t>menos de 48h</t>
        </is>
      </c>
      <c r="D10" s="43" t="n">
        <v>200</v>
      </c>
      <c r="E10" s="43" t="n">
        <v>220</v>
      </c>
      <c r="F10" s="43" t="n">
        <v>280</v>
      </c>
      <c r="G10" s="44" t="inlineStr">
        <is>
          <t>Azul - tabela publicada Brasil (_FATOS-VIAGEM.md, sec. 2)</t>
        </is>
      </c>
      <c r="H10" s="4" t="inlineStr">
        <is>
          <t>snapshot 15/07/2026</t>
        </is>
      </c>
    </row>
    <row r="11">
      <c r="A11" s="4" t="inlineStr">
        <is>
          <t>Azul|no aeroporto</t>
        </is>
      </c>
      <c r="B11" s="4" t="inlineStr">
        <is>
          <t>Azul</t>
        </is>
      </c>
      <c r="C11" s="4" t="inlineStr">
        <is>
          <t>no aeroporto</t>
        </is>
      </c>
      <c r="D11" s="45" t="inlineStr">
        <is>
          <t>nao publicado</t>
        </is>
      </c>
      <c r="E11" s="45" t="inlineStr">
        <is>
          <t>nao publicado</t>
        </is>
      </c>
      <c r="F11" s="45" t="inlineStr">
        <is>
          <t>nao publicado</t>
        </is>
      </c>
      <c r="G11" s="44" t="inlineStr">
        <is>
          <t>Azul nao publica preco de balcao/aeroporto. Azul - tabela publicada Brasil (_FATOS-VIAGEM.md, sec. 2)</t>
        </is>
      </c>
      <c r="H11" s="4" t="inlineStr">
        <is>
          <t>snapshot 15/07/2026</t>
        </is>
      </c>
    </row>
    <row r="12">
      <c r="A12" s="4" t="inlineStr">
        <is>
          <t>LATAM|48h ou mais</t>
        </is>
      </c>
      <c r="B12" s="4" t="inlineStr">
        <is>
          <t>LATAM</t>
        </is>
      </c>
      <c r="C12" s="4" t="inlineStr">
        <is>
          <t>48h ou mais</t>
        </is>
      </c>
      <c r="D12" s="45" t="inlineStr">
        <is>
          <t>nao publicado</t>
        </is>
      </c>
      <c r="E12" s="45" t="inlineStr">
        <is>
          <t>nao publicado</t>
        </is>
      </c>
      <c r="F12" s="45" t="inlineStr">
        <is>
          <t>nao publicado</t>
        </is>
      </c>
      <c r="G12" s="44" t="inlineStr">
        <is>
          <t>LATAM - preco DINAMICO, nao publicado (_FATOS-VIAGEM.md, sec. 2)</t>
        </is>
      </c>
      <c r="H12" s="4" t="inlineStr">
        <is>
          <t>snapshot 15/07/2026</t>
        </is>
      </c>
    </row>
    <row r="13">
      <c r="A13" s="4" t="inlineStr">
        <is>
          <t>LATAM|menos de 48h</t>
        </is>
      </c>
      <c r="B13" s="4" t="inlineStr">
        <is>
          <t>LATAM</t>
        </is>
      </c>
      <c r="C13" s="4" t="inlineStr">
        <is>
          <t>menos de 48h</t>
        </is>
      </c>
      <c r="D13" s="45" t="inlineStr">
        <is>
          <t>nao publicado</t>
        </is>
      </c>
      <c r="E13" s="45" t="inlineStr">
        <is>
          <t>nao publicado</t>
        </is>
      </c>
      <c r="F13" s="45" t="inlineStr">
        <is>
          <t>nao publicado</t>
        </is>
      </c>
      <c r="G13" s="44" t="inlineStr">
        <is>
          <t>LATAM - preco DINAMICO, nao publicado (_FATOS-VIAGEM.md, sec. 2)</t>
        </is>
      </c>
      <c r="H13" s="4" t="inlineStr">
        <is>
          <t>snapshot 15/07/2026</t>
        </is>
      </c>
    </row>
    <row r="14">
      <c r="A14" s="4" t="inlineStr">
        <is>
          <t>LATAM|no aeroporto</t>
        </is>
      </c>
      <c r="B14" s="4" t="inlineStr">
        <is>
          <t>LATAM</t>
        </is>
      </c>
      <c r="C14" s="4" t="inlineStr">
        <is>
          <t>no aeroporto</t>
        </is>
      </c>
      <c r="D14" s="45" t="inlineStr">
        <is>
          <t>nao publicado</t>
        </is>
      </c>
      <c r="E14" s="45" t="inlineStr">
        <is>
          <t>nao publicado</t>
        </is>
      </c>
      <c r="F14" s="45" t="inlineStr">
        <is>
          <t>nao publicado</t>
        </is>
      </c>
      <c r="G14" s="44" t="inlineStr">
        <is>
          <t>LATAM - preco DINAMICO, nao publicado (_FATOS-VIAGEM.md, sec. 2)</t>
        </is>
      </c>
      <c r="H14" s="4" t="inlineStr">
        <is>
          <t>snapshot 15/07/2026</t>
        </is>
      </c>
    </row>
    <row r="16">
      <c r="A16" s="22" t="inlineStr">
        <is>
          <t>Azul: maximo de 5 pecas de 23 kg por passageiro/trecho. Fonte: _FATOS-VIAGEM.md sec. 2 (Azul Brasil publicado).</t>
        </is>
      </c>
    </row>
    <row r="17">
      <c r="A17" s="46" t="inlineStr">
        <is>
          <t>NAO EXISTE NESTA PLANILHA a faixa de excesso 23-&gt;32 kg da GOL: duas paginas oficiais da GOL divergem (R$ 170 x R$ 275). Dado em conflito nao vira celula - vira alerta.</t>
        </is>
      </c>
    </row>
    <row r="19">
      <c r="A19" s="12" t="inlineStr">
        <is>
          <t>B) EXCESSO DE PESO - 32 kg a 45 kg, por volume (R$)</t>
        </is>
      </c>
    </row>
    <row r="20" ht="30" customHeight="1">
      <c r="A20" s="3" t="inlineStr">
        <is>
          <t>Companhia</t>
        </is>
      </c>
      <c r="B20" s="3" t="inlineStr">
        <is>
          <t>Excesso 32-45 kg (R$/volume)</t>
        </is>
      </c>
      <c r="C20" s="3" t="inlineStr">
        <is>
          <t>Observacao</t>
        </is>
      </c>
      <c r="D20" s="3" t="inlineStr">
        <is>
          <t>Fonte</t>
        </is>
      </c>
    </row>
    <row r="21">
      <c r="A21" s="4" t="inlineStr">
        <is>
          <t>GOL</t>
        </is>
      </c>
      <c r="B21" s="43" t="n">
        <v>350</v>
      </c>
      <c r="C21" s="44" t="inlineStr">
        <is>
          <t>Excesso de 32 kg ate 45 kg por volume. Acima de 45 kg NAO transporta.</t>
        </is>
      </c>
      <c r="D21" s="44" t="inlineStr">
        <is>
          <t>GOL - tabela publicada de bagagem nacional (_FATOS-VIAGEM.md, sec. 2)</t>
        </is>
      </c>
    </row>
    <row r="22">
      <c r="A22" s="4" t="inlineStr">
        <is>
          <t>Azul</t>
        </is>
      </c>
      <c r="B22" s="45" t="inlineStr">
        <is>
          <t>nao publicado</t>
        </is>
      </c>
      <c r="C22" s="44" t="inlineStr">
        <is>
          <t>Azul nao publica preco de excesso de peso. Recusa acima de 45 kg (BR) / 32 kg (Europa).</t>
        </is>
      </c>
      <c r="D22" s="44" t="inlineStr">
        <is>
          <t>Azul - tabela publicada Brasil (_FATOS-VIAGEM.md, sec. 2)</t>
        </is>
      </c>
    </row>
    <row r="23">
      <c r="A23" s="4" t="inlineStr">
        <is>
          <t>LATAM</t>
        </is>
      </c>
      <c r="B23" s="45" t="inlineStr">
        <is>
          <t>nao publicado</t>
        </is>
      </c>
      <c r="C23" s="44" t="inlineStr">
        <is>
          <t>Preco dinamico, nao publicado. Nao transporta acima de 45 kg (32 kg em rotas especificas).</t>
        </is>
      </c>
      <c r="D23" s="44" t="inlineStr">
        <is>
          <t>LATAM - preco DINAMICO, nao publicado (_FATOS-VIAGEM.md, sec. 2)</t>
        </is>
      </c>
    </row>
    <row r="25">
      <c r="A25" s="12" t="inlineStr">
        <is>
          <t>C) BAGAGEM ESPECIAL / DIFERENCIADA - case rigido obrigatorio (bumbo, contrabaixo, tuba, violoncelo) - por volume, por trecho (R$)</t>
        </is>
      </c>
    </row>
    <row r="26" ht="30" customHeight="1">
      <c r="A26" s="3" t="inlineStr">
        <is>
          <t>Companhia</t>
        </is>
      </c>
      <c r="B26" s="3" t="inlineStr">
        <is>
          <t>Preco (R$/volume)</t>
        </is>
      </c>
      <c r="C26" s="3" t="inlineStr">
        <is>
          <t>Observacao</t>
        </is>
      </c>
      <c r="D26" s="3" t="inlineStr">
        <is>
          <t>Fonte</t>
        </is>
      </c>
    </row>
    <row r="27">
      <c r="A27" s="4" t="inlineStr">
        <is>
          <t>GOL</t>
        </is>
      </c>
      <c r="B27" s="43" t="n">
        <v>195</v>
      </c>
      <c r="C27" s="44" t="inlineStr">
        <is>
          <t>292 cm (A+B+C), ate 23 kg. Mesmo preco em +48h / -48h / aeroporto. Cliente Smiles NAO tem gratuidade; tarifa com despacho gratis NAO cobre a diferenciada; a GOL nao se responsabiliza por danos a bagagem diferenciada.</t>
        </is>
      </c>
      <c r="D27" s="44" t="inlineStr">
        <is>
          <t>GOL - tabela publicada de bagagem nacional (_FATOS-VIAGEM.md, sec. 2)</t>
        </is>
      </c>
    </row>
    <row r="28">
      <c r="A28" s="4" t="inlineStr">
        <is>
          <t>Azul</t>
        </is>
      </c>
      <c r="B28" s="43" t="n">
        <v>250</v>
      </c>
      <c r="C28" s="44" t="inlineStr">
        <is>
          <t>Acima de 158 cm somados ja e ESPECIAL. Preco Brasil.</t>
        </is>
      </c>
      <c r="D28" s="44" t="inlineStr">
        <is>
          <t>Azul - tabela publicada Brasil (_FATOS-VIAGEM.md, sec. 2)</t>
        </is>
      </c>
    </row>
    <row r="29">
      <c r="A29" s="4" t="inlineStr">
        <is>
          <t>LATAM</t>
        </is>
      </c>
      <c r="B29" s="45" t="inlineStr">
        <is>
          <t>nao publicado</t>
        </is>
      </c>
      <c r="C29" s="44" t="inlineStr">
        <is>
          <t>Limite 300 cm lineares. Preco nao publicado. Violao/guitarra com estojo = bagagem REGULAR (consome a franquia).</t>
        </is>
      </c>
      <c r="D29" s="44" t="inlineStr">
        <is>
          <t>LATAM - preco DINAMICO, nao publicado (_FATOS-VIAGEM.md, sec. 2)</t>
        </is>
      </c>
    </row>
    <row r="31">
      <c r="A31" s="12" t="inlineStr">
        <is>
          <t>D) FRANQUIAS E LIMITES (dado de norma / contrato de cia)</t>
        </is>
      </c>
    </row>
    <row r="32" ht="30" customHeight="1">
      <c r="A32" s="3" t="inlineStr">
        <is>
          <t>Tema</t>
        </is>
      </c>
      <c r="B32" s="3" t="inlineStr">
        <is>
          <t>Fato</t>
        </is>
      </c>
      <c r="C32" s="3" t="inlineStr">
        <is>
          <t>Fonte</t>
        </is>
      </c>
    </row>
    <row r="33" ht="30" customHeight="1">
      <c r="A33" s="47" t="inlineStr">
        <is>
          <t>Bagagem de mao - franquia minima</t>
        </is>
      </c>
      <c r="B33" s="48" t="inlineStr">
        <is>
          <t>10 kg. A norma NAO fixa dimensao: dimensao e quantidade sao do CONTRATO DE TRANSPORTE de cada cia.</t>
        </is>
      </c>
      <c r="C33" s="49" t="inlineStr">
        <is>
          <t>Res. ANAC 400/2016, art. 14</t>
        </is>
      </c>
    </row>
    <row r="34" ht="30" customHeight="1">
      <c r="A34" s="47" t="inlineStr">
        <is>
          <t>MITO N.1</t>
        </is>
      </c>
      <c r="B34" s="48" t="inlineStr">
        <is>
          <t>55x35x25 cm NAO e 'padrao ANAC'. E contrato de cada companhia.</t>
        </is>
      </c>
      <c r="C34" s="49" t="inlineStr">
        <is>
          <t>Res. ANAC 400/2016, art. 14</t>
        </is>
      </c>
    </row>
    <row r="35" ht="30" customHeight="1">
      <c r="A35" s="47" t="inlineStr">
        <is>
          <t>Bagagem despachada</t>
        </is>
      </c>
      <c r="B35" s="48" t="inlineStr">
        <is>
          <t>Configura CONTRATO ACESSORIO -&gt; franquia gratis NAO e obrigatoria.</t>
        </is>
      </c>
      <c r="C35" s="49" t="inlineStr">
        <is>
          <t>Res. ANAC 400/2016, art. 13</t>
        </is>
      </c>
    </row>
    <row r="36" ht="30" customHeight="1">
      <c r="A36" s="47" t="inlineStr">
        <is>
          <t>Bagagem fora das regras</t>
        </is>
      </c>
      <c r="B36" s="48" t="inlineStr">
        <is>
          <t>Pode ser RECUSADA ou submetida a contrato de transporte de CARGA.</t>
        </is>
      </c>
      <c r="C36" s="49" t="inlineStr">
        <is>
          <t>Res. ANAC 400/2016, art. 15</t>
        </is>
      </c>
    </row>
    <row r="37" ht="30" customHeight="1">
      <c r="A37" s="47" t="inlineStr">
        <is>
          <t>Limite de indenizacao (domestico)</t>
        </is>
      </c>
      <c r="B37" s="48" t="inlineStr">
        <is>
          <t>1.131 DES.</t>
        </is>
      </c>
      <c r="C37" s="49" t="inlineStr">
        <is>
          <t>Res. ANAC 400/2016, art. 17</t>
        </is>
      </c>
    </row>
    <row r="38" ht="30" customHeight="1">
      <c r="A38" s="47" t="inlineStr">
        <is>
          <t>Peso por volume despachado</t>
        </is>
      </c>
      <c r="B38" s="48" t="inlineStr">
        <is>
          <t>23 kg (GOL / Azul / LATAM).</t>
        </is>
      </c>
      <c r="C38" s="49" t="inlineStr">
        <is>
          <t>Cias - snapshot 15/07/2026</t>
        </is>
      </c>
    </row>
    <row r="39" ht="30" customHeight="1">
      <c r="A39" s="47" t="inlineStr">
        <is>
          <t>Dimensao do volume despachado</t>
        </is>
      </c>
      <c r="B39" s="48" t="inlineStr">
        <is>
          <t>LATAM 158 cm lineares | GOL 80x50x28 | Azul 158 cm somados.</t>
        </is>
      </c>
      <c r="C39" s="49" t="inlineStr">
        <is>
          <t>Cias - snapshot 15/07/2026</t>
        </is>
      </c>
    </row>
    <row r="40" ht="30" customHeight="1">
      <c r="A40" s="47" t="inlineStr">
        <is>
          <t>Recusa por peso</t>
        </is>
      </c>
      <c r="B40" s="48" t="inlineStr">
        <is>
          <t>Acima de 45 kg NAO transporta (GOL/Azul/LATAM no Brasil). 32 kg e limite internacional/Europa.</t>
        </is>
      </c>
      <c r="C40" s="49" t="inlineStr">
        <is>
          <t>Cias - snapshot 15/07/2026</t>
        </is>
      </c>
    </row>
    <row r="41" ht="30" customHeight="1">
      <c r="A41" s="47" t="inlineStr">
        <is>
          <t>MITO N.3</t>
        </is>
      </c>
      <c r="B41" s="48" t="inlineStr">
        <is>
          <t>'32 kg e o limite por saude do trabalhador' NAO vale no domestico brasileiro: as tres aceitam ate 45 kg por volume pagando excesso.</t>
        </is>
      </c>
      <c r="C41" s="49" t="inlineStr">
        <is>
          <t>Cias - snapshot 15/07/2026</t>
        </is>
      </c>
    </row>
    <row r="42" ht="30" customHeight="1">
      <c r="A42" s="47" t="inlineStr">
        <is>
          <t>Item pessoal</t>
        </is>
      </c>
      <c r="B42" s="48" t="inlineStr">
        <is>
          <t>LATAM 45x35x20 10 kg | GOL 32x43x22 10 kg | Azul 45x35x20 SEM limite de peso.</t>
        </is>
      </c>
      <c r="C42" s="49" t="inlineStr">
        <is>
          <t>Cias - snapshot 15/07/2026</t>
        </is>
      </c>
    </row>
    <row r="43" ht="30" customHeight="1">
      <c r="A43" s="47" t="inlineStr">
        <is>
          <t>Mala de cabine</t>
        </is>
      </c>
      <c r="B43" s="48" t="inlineStr">
        <is>
          <t>LATAM 55x35x25 12 kg (nao inclusa na Basic) | GOL 55x35x25 12 kg (desde 14/10/2025; antes 10 kg) | Azul 55x35x25 (115 cm) 10 kg.</t>
        </is>
      </c>
      <c r="C43" s="49" t="inlineStr">
        <is>
          <t>Cias - snapshot 15/07/2026</t>
        </is>
      </c>
    </row>
    <row r="44" ht="30" customHeight="1">
      <c r="A44" s="47" t="inlineStr">
        <is>
          <t>MITO N.2 - PL 5041/2025</t>
        </is>
      </c>
      <c r="B44" s="48" t="inlineStr">
        <is>
          <t>12 kg de mao + 23 kg despachado gratis NAO E LEI. Aprovado na Camara em 28/10/2025, PARADO NO SENADO desde 05/11/2025.</t>
        </is>
      </c>
      <c r="C44" s="49" t="inlineStr">
        <is>
          <t>Tramitacao legislativa - snapshot 15/07/2026</t>
        </is>
      </c>
    </row>
    <row r="45" ht="30" customHeight="1">
      <c r="A45" s="47" t="inlineStr">
        <is>
          <t>Azul - objetos magneticos</t>
        </is>
      </c>
      <c r="B45" s="48" t="inlineStr">
        <is>
          <t>Alto-falante, AMPLIFICADOR e CAIXA ACUSTICA sao artigos perigosos: so ate 95 cm somados e 1 por passageiro. Acima disso -&gt; Azul Cargo. (E isto que quebra o plano de levar backline como bagagem.)</t>
        </is>
      </c>
      <c r="C45" s="49" t="inlineStr">
        <is>
          <t>Azul - snapshot 15/07/2026</t>
        </is>
      </c>
    </row>
    <row r="46" ht="30" customHeight="1">
      <c r="A46" s="47" t="inlineStr">
        <is>
          <t>Baterias de litio</t>
        </is>
      </c>
      <c r="B46" s="48" t="inlineStr">
        <is>
          <t>GOL: novas regras a partir de 04/05/2026, so na bagagem de mao, PROIBIDAS na despachada. Azul: max. 2 unidades; ate 100 Wh livre; 100-160 Wh com autorizacao previa; acima de 160 Wh proibido; proibido recarregar a bordo.</t>
        </is>
      </c>
      <c r="C46" s="49" t="inlineStr">
        <is>
          <t>Cias - snapshot 15/07/2026</t>
        </is>
      </c>
    </row>
    <row r="47" ht="30" customHeight="1">
      <c r="A47" s="47" t="inlineStr">
        <is>
          <t>Instrumento na cabine</t>
        </is>
      </c>
      <c r="B47" s="48" t="inlineStr">
        <is>
          <t>GOL: guitarras e violoes podem ir na cabine como bagagem de mao. Azul: violao/guitarra na cabine SUBSTITUEM a bagagem de mao de 10 kg. LATAM: NAO AFIRMAR - duas paginas oficiais se contradizem.</t>
        </is>
      </c>
      <c r="C47" s="49" t="inlineStr">
        <is>
          <t>Cias - snapshot 15/07/2026</t>
        </is>
      </c>
    </row>
    <row r="48" ht="30" customHeight="1">
      <c r="A48" s="47" t="inlineStr">
        <is>
          <t>Comprar assento para o instrumento</t>
        </is>
      </c>
      <c r="B48" s="48" t="inlineStr">
        <is>
          <t>NAO CONFIRMADO em fonte oficial. Nao usar como plano.</t>
        </is>
      </c>
      <c r="C48" s="49" t="inlineStr">
        <is>
          <t>-</t>
        </is>
      </c>
    </row>
    <row r="49" ht="30" customHeight="1">
      <c r="A49" s="47" t="inlineStr">
        <is>
          <t>RODOVIARIO - franquia minima do bagageiro</t>
        </is>
      </c>
      <c r="B49" s="48" t="inlineStr">
        <is>
          <t>30 kg, 300 dm3, maior dimensao de qualquer item 1 metro. NAO se aplica a microonibus categoria M3.</t>
        </is>
      </c>
      <c r="C49" s="49" t="inlineStr">
        <is>
          <t>Res. ANTT 6.033/2023</t>
        </is>
      </c>
    </row>
    <row r="50" ht="30" customHeight="1">
      <c r="A50" s="47" t="inlineStr">
        <is>
          <t>RODOVIARIO - porta-embrulhos (mao)</t>
        </is>
      </c>
      <c r="B50" s="48" t="inlineStr">
        <is>
          <t>5 kg. A norma NAO fixa dimensao em cm. Volume ali e responsabilidade do passageiro e NAO tem indenizacao.</t>
        </is>
      </c>
      <c r="C50" s="49" t="inlineStr">
        <is>
          <t>Res. ANTT 6.033/2023</t>
        </is>
      </c>
    </row>
    <row r="51" ht="30" customHeight="1">
      <c r="A51" s="47" t="inlineStr">
        <is>
          <t>RODOVIARIO - excesso de bagagem</t>
        </is>
      </c>
      <c r="B51" s="48" t="inlineStr">
        <is>
          <t>O teto de 0,5%/kg da Res. 1.432/2006 ACABOU. Hoje e SERVICO ACESSORIO: oferta facultativa e PRECO LIVRE - a empresa pode simplesmente RECUSAR. Por isso esta planilha nao tem tabela de excesso rodoviario: e premissa do aluno.</t>
        </is>
      </c>
      <c r="C51" s="49" t="inlineStr">
        <is>
          <t>Res. ANTT 6.033/2023</t>
        </is>
      </c>
    </row>
    <row r="52" ht="30" customHeight="1">
      <c r="A52" s="47" t="inlineStr">
        <is>
          <t>ACHADO CRITICO</t>
        </is>
      </c>
      <c r="B52" s="48" t="inlineStr">
        <is>
          <t>A Res. ANTT 1.432/2006 esta REVOGADA pela 6.033/2023 - e ate a pagina da propria ANTT no ar continua desatualizada citando a norma revogada. Nao cite a 1.432.</t>
        </is>
      </c>
      <c r="C52" s="49" t="inlineStr">
        <is>
          <t>Res. ANTT 6.033/2023</t>
        </is>
      </c>
    </row>
    <row r="53" ht="30" customHeight="1">
      <c r="A53" s="47" t="inlineStr">
        <is>
          <t>RODOVIARIO - equipamento fora do padrao</t>
        </is>
      </c>
      <c r="B53" s="48" t="inlineStr">
        <is>
          <t>Avisar a empresa com no minimo 24 h de antecedencia (dever do usuario) - e ainda assim ela NAO e obrigada a aceitar.</t>
        </is>
      </c>
      <c r="C53" s="49" t="inlineStr">
        <is>
          <t>Res. ANTT 6.033/2023</t>
        </is>
      </c>
    </row>
    <row r="54" ht="30" customHeight="1">
      <c r="A54" s="47" t="inlineStr">
        <is>
          <t>FRETAMENTO - modalidade da equipe</t>
        </is>
      </c>
      <c r="B54" s="48" t="inlineStr">
        <is>
          <t>EVENTUAL (congressos, competicoes). Circuito fechado: grupo com motivacao comum sai da origem, percorre e volta a origem no mesmo veiculo. VENDA DE BILHETE INDIVIDUAL E PROIBIDA.</t>
        </is>
      </c>
      <c r="C54" s="49" t="inlineStr">
        <is>
          <t>Res. ANTT 4.777/2015</t>
        </is>
      </c>
    </row>
    <row r="55" ht="30" customHeight="1">
      <c r="A55" s="47" t="inlineStr">
        <is>
          <t>FRETAMENTO - documentos a bordo</t>
        </is>
      </c>
      <c r="B55" s="48" t="inlineStr">
        <is>
          <t>Licenca de Viagem + relacao de passageiros (art. 23). Tambem CRLV, CSV e apolice do seguro RC (art. 31 §3). 'CITV' NAO EXISTE em fonte oficial.</t>
        </is>
      </c>
      <c r="C55" s="49" t="inlineStr">
        <is>
          <t>Res. ANTT 4.777/2015</t>
        </is>
      </c>
    </row>
    <row r="56" ht="30" customHeight="1">
      <c r="A56" s="47" t="inlineStr">
        <is>
          <t>FRETAMENTO - troca de equipe</t>
        </is>
      </c>
      <c r="B56" s="48" t="inlineStr">
        <is>
          <t>Permitida substituicao de ATE 20% dos passageiros antes da partida.</t>
        </is>
      </c>
      <c r="C56" s="49" t="inlineStr">
        <is>
          <t>Res. ANTT 4.777/2015, art. 36</t>
        </is>
      </c>
    </row>
    <row r="58">
      <c r="A58" s="50" t="inlineStr">
        <is>
          <t>TODO numero desta aba veio de _FATOS-VIAGEM.md (levantamento 15/07/2026). Onde a fonte oficial nao publica ou se contradiz, esta escrito 'nao publicado' de proposito - e as formulas das outras abas devolvem alerta em vez de um numero inventado.</t>
        </is>
      </c>
    </row>
  </sheetData>
  <mergeCells count="3">
    <mergeCell ref="A2:H2"/>
    <mergeCell ref="A58:H5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2026-07-15T17:02:59Z</dcterms:created>
  <dcterms:modified xsi:type="dcterms:W3CDTF">2026-07-15T17:02:59Z</dcterms:modified>
</cp:coreProperties>
</file>