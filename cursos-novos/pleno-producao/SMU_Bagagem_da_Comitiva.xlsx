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COMITIVA" sheetId="2" state="visible" r:id="rId2"/>
    <sheet name="RESUMO" sheetId="3" state="visible" r:id="rId3"/>
    <sheet name="TABELAS_OFICIA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#"/>
    <numFmt numFmtId="166" formatCode="#,##0.0"/>
    <numFmt numFmtId="167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color rgb="001F3864"/>
      <sz val="10"/>
    </font>
    <font>
      <b val="1"/>
    </font>
    <font>
      <color rgb="00B71C1C"/>
      <sz val="9"/>
    </font>
    <font>
      <color rgb="00666666"/>
      <sz val="9"/>
    </font>
    <font>
      <b val="1"/>
      <color rgb="001F3864"/>
      <sz val="11"/>
    </font>
    <font>
      <color rgb="001B5E20"/>
      <sz val="9"/>
    </font>
    <font>
      <sz val="9"/>
    </font>
    <font>
      <b val="1"/>
      <sz val="9"/>
    </font>
    <font>
      <b val="1"/>
      <sz val="12"/>
    </font>
    <font>
      <b val="1"/>
      <sz val="10"/>
    </font>
    <font>
      <b val="1"/>
      <color rgb="00B71C1C"/>
      <sz val="9"/>
    </font>
    <font>
      <color rgb="00666666"/>
      <sz val="8"/>
    </font>
    <font>
      <i val="1"/>
      <color rgb="00B71C1C"/>
    </font>
    <font>
      <i val="1"/>
      <color rgb="00B71C1C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FE0B2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4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" fontId="4" fillId="4" borderId="1" pivotButton="0" quotePrefix="0" xfId="0"/>
    <xf numFmtId="0" fontId="7" fillId="0" borderId="0" pivotButton="0" quotePrefix="0" xfId="0"/>
    <xf numFmtId="1" fontId="4" fillId="5" borderId="1" pivotButton="0" quotePrefix="0" xfId="0"/>
    <xf numFmtId="0" fontId="8" fillId="0" borderId="1" applyAlignment="1" pivotButton="0" quotePrefix="0" xfId="0">
      <alignment vertical="top" wrapText="1"/>
    </xf>
    <xf numFmtId="0" fontId="4" fillId="5" borderId="1" pivotButton="0" quotePrefix="0" xfId="0"/>
    <xf numFmtId="164" fontId="4" fillId="5" borderId="1" pivotButton="0" quotePrefix="0" xfId="0"/>
    <xf numFmtId="1" fontId="4" fillId="6" borderId="1" pivotButton="0" quotePrefix="0" xfId="0"/>
    <xf numFmtId="0" fontId="5" fillId="0" borderId="0" applyAlignment="1" pivotButton="0" quotePrefix="0" xfId="0">
      <alignment wrapText="1"/>
    </xf>
    <xf numFmtId="0" fontId="0" fillId="4" borderId="1" pivotButton="0" quotePrefix="0" xfId="0"/>
    <xf numFmtId="165" fontId="0" fillId="4" borderId="1" pivotButton="0" quotePrefix="0" xfId="0"/>
    <xf numFmtId="165" fontId="0" fillId="5" borderId="1" pivotButton="0" quotePrefix="0" xfId="0"/>
    <xf numFmtId="0" fontId="9" fillId="5" borderId="1" pivotButton="0" quotePrefix="0" xfId="0"/>
    <xf numFmtId="0" fontId="10" fillId="5" borderId="1" pivotButton="0" quotePrefix="0" xfId="0"/>
    <xf numFmtId="164" fontId="4" fillId="7" borderId="1" pivotButton="0" quotePrefix="0" xfId="0"/>
    <xf numFmtId="0" fontId="4" fillId="0" borderId="1" pivotButton="0" quotePrefix="0" xfId="0"/>
    <xf numFmtId="1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4" fontId="11" fillId="7" borderId="1" pivotButton="0" quotePrefix="0" xfId="0"/>
    <xf numFmtId="164" fontId="12" fillId="0" borderId="1" pivotButton="0" quotePrefix="0" xfId="0"/>
    <xf numFmtId="0" fontId="13" fillId="8" borderId="0" applyAlignment="1" pivotButton="0" quotePrefix="0" xfId="0">
      <alignment vertical="center" wrapText="1"/>
    </xf>
    <xf numFmtId="164" fontId="0" fillId="6" borderId="1" pivotButton="0" quotePrefix="0" xfId="0"/>
    <xf numFmtId="0" fontId="14" fillId="0" borderId="1" applyAlignment="1" pivotButton="0" quotePrefix="0" xfId="0">
      <alignment vertical="top" wrapText="1"/>
    </xf>
    <xf numFmtId="0" fontId="15" fillId="8" borderId="1" pivotButton="0" quotePrefix="0" xfId="0"/>
    <xf numFmtId="0" fontId="2" fillId="0" borderId="0" pivotButton="0" quotePrefix="0" xfId="0"/>
    <xf numFmtId="0" fontId="16" fillId="0" borderId="0" pivotButton="0" quotePrefix="0" xfId="0"/>
    <xf numFmtId="0" fontId="10" fillId="0" borderId="1" pivotButton="0" quotePrefix="0" xfId="0"/>
    <xf numFmtId="0" fontId="9" fillId="0" borderId="1" applyAlignment="1" pivotButton="0" quotePrefix="0" xfId="0">
      <alignment vertical="top" wrapText="1"/>
    </xf>
    <xf numFmtId="0" fontId="14" fillId="0" borderId="1" pivotButton="0" quotePrefix="0" xfId="0"/>
    <xf numFmtId="0" fontId="16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C62828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SMU - Pleno Produtor</author>
  </authors>
  <commentList>
    <comment ref="B5" authorId="0" shapeId="0">
      <text>
        <t>ESCOLHA (lista suspensa)
LATAM não publica preço de despacho — é dinâmico. Escolha LATAM e veja a planilha avisar em vez de inventar número.</t>
      </text>
    </comment>
    <comment ref="B6" authorId="0" shapeId="0">
      <text>
        <t>ESCOLHA (lista suspensa)
GOL: 1ª peça R$ 130 antecipado × R$ 180 no balcão do aeroporto. Comprar bagagem em cima da hora é dinheiro jogado fora.</t>
      </text>
    </comment>
    <comment ref="B7" authorId="0" shapeId="0">
      <text>
        <t>PREMISSA DO ALUNO
Bagagem se paga POR TRECHO. Orçar só a ida é o erro mais comum de comitiva.</t>
      </text>
    </comment>
    <comment ref="B10" authorId="0" shapeId="0">
      <text>
        <t>FÓRMULA — conta os nomes da aba COMITIVA. Uma célula, uma verdade: não se digita gente aqui, se digita gente lá.</t>
      </text>
    </comment>
    <comment ref="B11" authorId="0" shapeId="0">
      <text>
        <t>FÓRMULA — é a chave que o ÍNDICE+CORRESP usa em TABELAS_OFICIAIS</t>
      </text>
    </comment>
    <comment ref="B12" authorId="0" shapeId="0">
      <text>
        <t>TABELAS_OFICIAIS — dado oficial, snapshot 15/07/2026</t>
      </text>
    </comment>
    <comment ref="B13" authorId="0" shapeId="0">
      <text>
        <t>TABELAS_OFICIAIS — dado oficial, snapshot 15/07/2026</t>
      </text>
    </comment>
    <comment ref="B14" authorId="0" shapeId="0">
      <text>
        <t>TABELAS_OFICIAIS — dado oficial, snapshot 15/07/2026</t>
      </text>
    </comment>
    <comment ref="B15" authorId="0" shapeId="0">
      <text>
        <t>TABELAS_OFICIAIS — só a GOL publica (R$ 350)</t>
      </text>
    </comment>
    <comment ref="B16" authorId="0" shapeId="0">
      <text>
        <t>TABELAS_OFICIAIS — GOL R$ 195 (até 292 cm) | Azul R$ 250 (acima de 158 cm) | LATAM não publicado</t>
      </text>
    </comment>
    <comment ref="B19" authorId="0" shapeId="0">
      <text>
        <t>DADO OFICIAL — GOL / Azul / LATAM — 23 kg por volume</t>
      </text>
    </comment>
    <comment ref="B20" authorId="0" shapeId="0">
      <text>
        <t>DADO OFICIAL — GOL 45 kg BR / Azul 45 kg BR / LATAM não transporta acima de 45 kg. Acima disso: contrato de CARGA (Res. ANAC 400/2016, art. 15)</t>
      </text>
    </comment>
    <comment ref="B21" authorId="0" shapeId="0">
      <text>
        <t>DADO OFICIAL — Faixa publicada: 32→45 kg. A faixa 23→32 kg da GOL NÃO entra: duas páginas oficiais divergem (R$ 170 × R$ 275)</t>
      </text>
    </comment>
    <comment ref="B22" authorId="0" shapeId="0">
      <text>
        <t>DADO OFICIAL — Res. ANAC 400/2016, art. 14 — mínimo 10 kg. A norma NÃO fixa dimensão: 55×35×25 cm é contrato da cia, não 'padrão ANAC'</t>
      </text>
    </comment>
    <comment ref="B23" authorId="0" shapeId="0">
      <text>
        <t>DADO OFICIAL — Azul — máx. 5 peças de 23 kg por passageiro/trecho</t>
      </text>
    </comment>
  </commentList>
</comments>
</file>

<file path=xl/comments/comment2.xml><?xml version="1.0" encoding="utf-8"?>
<comments xmlns="http://schemas.openxmlformats.org/spreadsheetml/2006/main">
  <authors>
    <author>SMU - Pleno Produtor</author>
  </authors>
  <commentList>
    <comment ref="P6" authorId="0" shapeId="0">
      <text>
        <t>Custo = nº de trechos × ( 1ª peça + 2ª peça + (nº de peças além da 2ª, até 5) × preço da 3ª–5ª + nº de volumes na faixa 32–45 kg × preço do excesso + volumes especiais × preço da bagagem diferenciada ).
Todos os preços saem de TABELAS_OFICIAIS por ÍNDICE+CORRESP, usando a chave montada em PREMISSAS!B11.
Se a cia escolhida não publica o preço (LATAM), a fórmula devolve 'n/d — cotar com a cia' em vez de inventar número.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0" customWidth="1" min="3" max="3"/>
    <col width="46" customWidth="1" min="4" max="4"/>
    <col width="46" customWidth="1" min="5" max="5"/>
  </cols>
  <sheetData>
    <row r="1" ht="26" customHeight="1">
      <c r="A1" s="1" t="inlineStr">
        <is>
          <t>PREMISSAS — preencha SÓ as células AMARELAS</t>
        </is>
      </c>
    </row>
    <row r="2" ht="40" customHeight="1">
      <c r="A2" s="2" t="inlineStr">
        <is>
          <t>A companhia e a antecedência moram aqui, e SÓ aqui. Toda a aba COMITIVA lê estas células com referência absoluta ($B$5). Trocou a cia? Troca em B5 e a comitiva inteira recalcula o custo. AMARELO = você escolhe | CINZA = fórmula, não digite por cima.</t>
        </is>
      </c>
    </row>
    <row r="4" ht="30" customHeight="1">
      <c r="A4" s="3" t="inlineStr">
        <is>
          <t>Premissa</t>
        </is>
      </c>
      <c r="B4" s="3" t="inlineStr">
        <is>
          <t>Valor</t>
        </is>
      </c>
      <c r="C4" s="3" t="inlineStr">
        <is>
          <t>Unidade</t>
        </is>
      </c>
      <c r="D4" s="3" t="inlineStr">
        <is>
          <t>Origem do dado</t>
        </is>
      </c>
      <c r="E4" s="3" t="inlineStr">
        <is>
          <t>Por que isso importa</t>
        </is>
      </c>
    </row>
    <row r="5" ht="34" customHeight="1">
      <c r="A5" s="4" t="inlineStr">
        <is>
          <t>Companhia aérea</t>
        </is>
      </c>
      <c r="B5" s="5" t="inlineStr">
        <is>
          <t>GOL</t>
        </is>
      </c>
      <c r="C5" s="4" t="inlineStr">
        <is>
          <t>lista</t>
        </is>
      </c>
      <c r="D5" s="6" t="inlineStr">
        <is>
          <t>ESCOLHA (lista suspensa)</t>
        </is>
      </c>
      <c r="E5" s="7" t="inlineStr">
        <is>
          <t>LATAM não publica preço de despacho — é dinâmico. Escolha LATAM e veja a planilha avisar em vez de inventar número.</t>
        </is>
      </c>
    </row>
    <row r="6" ht="34" customHeight="1">
      <c r="A6" s="4" t="inlineStr">
        <is>
          <t>Antecedência da compra do despacho</t>
        </is>
      </c>
      <c r="B6" s="5" t="inlineStr">
        <is>
          <t>48h ou mais</t>
        </is>
      </c>
      <c r="C6" s="4" t="inlineStr">
        <is>
          <t>lista</t>
        </is>
      </c>
      <c r="D6" s="6" t="inlineStr">
        <is>
          <t>ESCOLHA (lista suspensa)</t>
        </is>
      </c>
      <c r="E6" s="7" t="inlineStr">
        <is>
          <t>GOL: 1ª peça R$ 130 antecipado × R$ 180 no balcão do aeroporto. Comprar bagagem em cima da hora é dinheiro jogado fora.</t>
        </is>
      </c>
    </row>
    <row r="7" ht="34" customHeight="1">
      <c r="A7" s="4" t="inlineStr">
        <is>
          <t>Nº de trechos (ida e volta = 2)</t>
        </is>
      </c>
      <c r="B7" s="8" t="n">
        <v>2</v>
      </c>
      <c r="C7" s="4" t="inlineStr">
        <is>
          <t>trechos</t>
        </is>
      </c>
      <c r="D7" s="6" t="inlineStr">
        <is>
          <t>PREMISSA DO ALUNO</t>
        </is>
      </c>
      <c r="E7" s="7" t="inlineStr">
        <is>
          <t>Bagagem se paga POR TRECHO. Orçar só a ida é o erro mais comum de comitiva.</t>
        </is>
      </c>
    </row>
    <row r="9">
      <c r="A9" s="9" t="inlineStr">
        <is>
          <t>CALCULADO (não digite por cima)</t>
        </is>
      </c>
    </row>
    <row r="10" ht="30" customHeight="1">
      <c r="A10" s="4" t="inlineStr">
        <is>
          <t>Nº de pessoas na comitiva</t>
        </is>
      </c>
      <c r="B10" s="10">
        <f>COUNTA(COMITIVA!$A$6:$A$45)</f>
        <v/>
      </c>
      <c r="C10" s="4" t="inlineStr">
        <is>
          <t>pessoas</t>
        </is>
      </c>
      <c r="D10" s="11" t="inlineStr">
        <is>
          <t>FÓRMULA — conta os nomes da aba COMITIVA. Uma célula, uma verdade: não se digita gente aqui, se digita gente lá.</t>
        </is>
      </c>
    </row>
    <row r="11" ht="30" customHeight="1">
      <c r="A11" s="4" t="inlineStr">
        <is>
          <t>Chave de consulta da tabela oficial</t>
        </is>
      </c>
      <c r="B11" s="12">
        <f>$B$5&amp;"|"&amp;$B$6</f>
        <v/>
      </c>
      <c r="C11" s="4" t="inlineStr">
        <is>
          <t>texto</t>
        </is>
      </c>
      <c r="D11" s="11" t="inlineStr">
        <is>
          <t>FÓRMULA — é a chave que o ÍNDICE+CORRESP usa em TABELAS_OFICIAIS</t>
        </is>
      </c>
    </row>
    <row r="12" ht="30" customHeight="1">
      <c r="A12" s="4" t="inlineStr">
        <is>
          <t>Preço da 1ª peça despachada (resolvido)</t>
        </is>
      </c>
      <c r="B12" s="13">
        <f>IFERROR(INDEX(TABELAS_OFICIAIS!$D$6:$F$14,MATCH($B$11,TABELAS_OFICIAIS!$A$6:$A$14,0),1),"chave invalida")</f>
        <v/>
      </c>
      <c r="C12" s="4" t="inlineStr">
        <is>
          <t>R$/peça/trecho</t>
        </is>
      </c>
      <c r="D12" s="11" t="inlineStr">
        <is>
          <t>TABELAS_OFICIAIS — dado oficial, snapshot 15/07/2026</t>
        </is>
      </c>
    </row>
    <row r="13" ht="30" customHeight="1">
      <c r="A13" s="4" t="inlineStr">
        <is>
          <t>Preço da 2ª peça despachada (resolvido)</t>
        </is>
      </c>
      <c r="B13" s="13">
        <f>IFERROR(INDEX(TABELAS_OFICIAIS!$D$6:$F$14,MATCH($B$11,TABELAS_OFICIAIS!$A$6:$A$14,0),2),"chave invalida")</f>
        <v/>
      </c>
      <c r="C13" s="4" t="inlineStr">
        <is>
          <t>R$/peça/trecho</t>
        </is>
      </c>
      <c r="D13" s="11" t="inlineStr">
        <is>
          <t>TABELAS_OFICIAIS — dado oficial, snapshot 15/07/2026</t>
        </is>
      </c>
    </row>
    <row r="14" ht="30" customHeight="1">
      <c r="A14" s="4" t="inlineStr">
        <is>
          <t>Preço da 3ª a 5ª peça (resolvido)</t>
        </is>
      </c>
      <c r="B14" s="13">
        <f>IFERROR(INDEX(TABELAS_OFICIAIS!$D$6:$F$14,MATCH($B$11,TABELAS_OFICIAIS!$A$6:$A$14,0),3),"chave invalida")</f>
        <v/>
      </c>
      <c r="C14" s="4" t="inlineStr">
        <is>
          <t>R$/peça/trecho</t>
        </is>
      </c>
      <c r="D14" s="11" t="inlineStr">
        <is>
          <t>TABELAS_OFICIAIS — dado oficial, snapshot 15/07/2026</t>
        </is>
      </c>
    </row>
    <row r="15" ht="30" customHeight="1">
      <c r="A15" s="4" t="inlineStr">
        <is>
          <t>Preço do excesso 32–45 kg (resolvido)</t>
        </is>
      </c>
      <c r="B15" s="13">
        <f>IFERROR(INDEX(TABELAS_OFICIAIS!$B$21:$B$23,MATCH($B$5,TABELAS_OFICIAIS!$A$21:$A$23,0)),"chave invalida")</f>
        <v/>
      </c>
      <c r="C15" s="4" t="inlineStr">
        <is>
          <t>R$/volume/trecho</t>
        </is>
      </c>
      <c r="D15" s="11" t="inlineStr">
        <is>
          <t>TABELAS_OFICIAIS — só a GOL publica (R$ 350)</t>
        </is>
      </c>
    </row>
    <row r="16" ht="30" customHeight="1">
      <c r="A16" s="4" t="inlineStr">
        <is>
          <t>Preço da bagagem especial/diferenciada (resolvido)</t>
        </is>
      </c>
      <c r="B16" s="13">
        <f>IFERROR(INDEX(TABELAS_OFICIAIS!$B$27:$B$29,MATCH($B$5,TABELAS_OFICIAIS!$A$27:$A$29,0)),"chave invalida")</f>
        <v/>
      </c>
      <c r="C16" s="4" t="inlineStr">
        <is>
          <t>R$/volume/trecho</t>
        </is>
      </c>
      <c r="D16" s="11" t="inlineStr">
        <is>
          <t>TABELAS_OFICIAIS — GOL R$ 195 (até 292 cm) | Azul R$ 250 (acima de 158 cm) | LATAM não publicado</t>
        </is>
      </c>
    </row>
    <row r="18">
      <c r="A18" s="9" t="inlineStr">
        <is>
          <t>LIMITES QUE A ABA COMITIVA VIGIA (dado oficial — snapshot 15/07/2026)</t>
        </is>
      </c>
    </row>
    <row r="19" ht="32" customHeight="1">
      <c r="A19" s="4" t="inlineStr">
        <is>
          <t>Peso da franquia por volume despachado</t>
        </is>
      </c>
      <c r="B19" s="14" t="n">
        <v>23</v>
      </c>
      <c r="C19" s="4" t="inlineStr">
        <is>
          <t>kg</t>
        </is>
      </c>
      <c r="D19" s="11" t="inlineStr">
        <is>
          <t>GOL / Azul / LATAM — 23 kg por volume</t>
        </is>
      </c>
    </row>
    <row r="20" ht="32" customHeight="1">
      <c r="A20" s="4" t="inlineStr">
        <is>
          <t>Peso acima do qual a cia RECUSA o volume</t>
        </is>
      </c>
      <c r="B20" s="14" t="n">
        <v>45</v>
      </c>
      <c r="C20" s="4" t="inlineStr">
        <is>
          <t>kg</t>
        </is>
      </c>
      <c r="D20" s="11" t="inlineStr">
        <is>
          <t>GOL 45 kg BR / Azul 45 kg BR / LATAM não transporta acima de 45 kg. Acima disso: contrato de CARGA (Res. ANAC 400/2016, art. 15)</t>
        </is>
      </c>
    </row>
    <row r="21" ht="32" customHeight="1">
      <c r="A21" s="4" t="inlineStr">
        <is>
          <t>Peso a partir do qual há excesso cobrável</t>
        </is>
      </c>
      <c r="B21" s="14" t="n">
        <v>32</v>
      </c>
      <c r="C21" s="4" t="inlineStr">
        <is>
          <t>kg</t>
        </is>
      </c>
      <c r="D21" s="11" t="inlineStr">
        <is>
          <t>Faixa publicada: 32→45 kg. A faixa 23→32 kg da GOL NÃO entra: duas páginas oficiais divergem (R$ 170 × R$ 275)</t>
        </is>
      </c>
    </row>
    <row r="22" ht="32" customHeight="1">
      <c r="A22" s="4" t="inlineStr">
        <is>
          <t>Franquia mínima de bagagem de mão</t>
        </is>
      </c>
      <c r="B22" s="14" t="n">
        <v>10</v>
      </c>
      <c r="C22" s="4" t="inlineStr">
        <is>
          <t>kg</t>
        </is>
      </c>
      <c r="D22" s="11" t="inlineStr">
        <is>
          <t>Res. ANAC 400/2016, art. 14 — mínimo 10 kg. A norma NÃO fixa dimensão: 55×35×25 cm é contrato da cia, não 'padrão ANAC'</t>
        </is>
      </c>
    </row>
    <row r="23" ht="32" customHeight="1">
      <c r="A23" s="4" t="inlineStr">
        <is>
          <t>Máximo de peças despachadas por passageiro/trecho</t>
        </is>
      </c>
      <c r="B23" s="14" t="n">
        <v>5</v>
      </c>
      <c r="C23" s="4" t="inlineStr">
        <is>
          <t>peças</t>
        </is>
      </c>
      <c r="D23" s="11" t="inlineStr">
        <is>
          <t>Azul — máx. 5 peças de 23 kg por passageiro/trecho</t>
        </is>
      </c>
    </row>
  </sheetData>
  <mergeCells count="2">
    <mergeCell ref="A2:E2"/>
    <mergeCell ref="A1:E1"/>
  </mergeCells>
  <dataValidations count="2">
    <dataValidation sqref="B5" showDropDown="0" showInputMessage="0" showErrorMessage="0" allowBlank="0" errorTitle="Companhia inválida" error="Escolha GOL, Azul ou LATAM." type="list">
      <formula1>"GOL,Azul,LATAM"</formula1>
    </dataValidation>
    <dataValidation sqref="B6" showDropDown="0" showInputMessage="0" showErrorMessage="0" allowBlank="0" errorTitle="Antecedência inválida" error="Escolha: 48h ou mais / menos de 48h / no aeroporto." type="list">
      <formula1>"48h ou mais,menos de 48h,no aeroporto"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3" customWidth="1" min="12" max="12"/>
    <col width="30" customWidth="1" min="13" max="13"/>
    <col width="14" customWidth="1" min="14" max="14"/>
    <col width="22" customWidth="1" min="15" max="15"/>
    <col width="18" customWidth="1" min="16" max="16"/>
  </cols>
  <sheetData>
    <row r="1" ht="26" customHeight="1">
      <c r="A1" s="1" t="inlineStr">
        <is>
          <t>COMITIVA — quem leva o quê, quanto pesa, quanto custa</t>
        </is>
      </c>
    </row>
    <row r="2" ht="52" customHeight="1">
      <c r="A2" s="2" t="inlineStr">
        <is>
          <t>Preencha as colunas AMARELAS (A a I). Da J em diante é tudo fórmula — não digite por cima. Vermelho claro = volume acima de 23 kg (você vai pagar excesso). Vermelho forte = acima de 45 kg: a companhia RECUSA, isso deixa de ser bagagem e vira contrato de carga (Res. ANAC 400/2016, art. 15). O custo sai por ÍNDICE+CORRESP na aba TABELAS_OFICIAIS, com a cia e a antecedência que estão em PREMISSAS.</t>
        </is>
      </c>
    </row>
    <row r="3" ht="46" customHeight="1">
      <c r="A3" s="15" t="inlineStr">
        <is>
          <t>Bagagem de mão: franquia mínima de 10 kg (Res. ANAC 400/2016, art. 14). Dimensão NÃO é da norma — é do contrato da cia (GOL/LATAM 55×35×25 até 12 kg; Azul 55×35×25 / 115 cm até 10 kg). Case rígido (bumbo, contrabaixo, tuba, violoncelo) = bagagem ESPECIAL/DIFERENCIADA: use a coluna própria. Amplificador e caixa acústica na Azul são ARTIGO PERIGOSO: só até 95 cm somados e 1 por passageiro — acima vai de Azul Cargo.</t>
        </is>
      </c>
    </row>
    <row r="5" ht="30" customHeight="1">
      <c r="A5" s="3" t="inlineStr">
        <is>
          <t>Nome</t>
        </is>
      </c>
      <c r="B5" s="3" t="inlineStr">
        <is>
          <t>Função</t>
        </is>
      </c>
      <c r="C5" s="3" t="inlineStr">
        <is>
          <t>Mala de mão (kg)</t>
        </is>
      </c>
      <c r="D5" s="3" t="inlineStr">
        <is>
          <t>Volumes despachados</t>
        </is>
      </c>
      <c r="E5" s="3" t="inlineStr">
        <is>
          <t>Peso vol. 1 (kg)</t>
        </is>
      </c>
      <c r="F5" s="3" t="inlineStr">
        <is>
          <t>Peso vol. 2 (kg)</t>
        </is>
      </c>
      <c r="G5" s="3" t="inlineStr">
        <is>
          <t>Peso vol. 3 (kg)</t>
        </is>
      </c>
      <c r="H5" s="3" t="inlineStr">
        <is>
          <t>Peso vol. 4 (kg)</t>
        </is>
      </c>
      <c r="I5" s="3" t="inlineStr">
        <is>
          <t>Peso vol. 5 (kg)</t>
        </is>
      </c>
      <c r="J5" s="3" t="inlineStr">
        <is>
          <t>Volumes especiais (case rígido)</t>
        </is>
      </c>
      <c r="K5" s="3" t="inlineStr">
        <is>
          <t>Peso total despachado (kg)</t>
        </is>
      </c>
      <c r="L5" s="3" t="inlineStr">
        <is>
          <t>Volume mais pesado (kg)</t>
        </is>
      </c>
      <c r="M5" s="3" t="inlineStr">
        <is>
          <t>Alerta mala de mão</t>
        </is>
      </c>
      <c r="N5" s="3" t="inlineStr">
        <is>
          <t>Alerta excesso (&gt;23 kg)</t>
        </is>
      </c>
      <c r="O5" s="3" t="inlineStr">
        <is>
          <t>Alerta recusa (&gt;45 kg)</t>
        </is>
      </c>
      <c r="P5" s="3" t="inlineStr">
        <is>
          <t>Custo do despacho (R$)</t>
        </is>
      </c>
    </row>
    <row r="6">
      <c r="A6" s="16" t="inlineStr">
        <is>
          <t>Ana Ribeiro</t>
        </is>
      </c>
      <c r="B6" s="16" t="inlineStr">
        <is>
          <t>Produtora</t>
        </is>
      </c>
      <c r="C6" s="17" t="n">
        <v>9</v>
      </c>
      <c r="D6" s="17" t="n">
        <v>1</v>
      </c>
      <c r="E6" s="17" t="n">
        <v>20</v>
      </c>
      <c r="F6" s="17" t="n"/>
      <c r="G6" s="17" t="n"/>
      <c r="H6" s="17" t="n"/>
      <c r="I6" s="17" t="n"/>
      <c r="J6" s="17" t="n">
        <v>0</v>
      </c>
      <c r="K6" s="18">
        <f>IF($A6="","",SUM($E6:$I6))</f>
        <v/>
      </c>
      <c r="L6" s="18">
        <f>IF($A6="","",IF(COUNT($E6:$I6)=0,0,MAX($E6:$I6)))</f>
        <v/>
      </c>
      <c r="M6" s="19">
        <f>IF($A6="","",IF($C6&gt;PREMISSAS!$B$22,"acima de "&amp;PREMISSAS!$B$22&amp;" kg — confira o contrato da cia","ok"))</f>
        <v/>
      </c>
      <c r="N6" s="20">
        <f>IF($A6="","",IF($L6&gt;PREMISSAS!$B$19,"EXCESSO","ok"))</f>
        <v/>
      </c>
      <c r="O6" s="20">
        <f>IF($A6="","",IF($L6&gt;PREMISSAS!$B$20,"RECUSADO — vira carga",""))</f>
        <v/>
      </c>
      <c r="P6" s="21">
        <f>IF($A6="","",IFERROR(PREMISSAS!$B$7*(IF($D6&gt;=1,INDEX(TABELAS_OFICIAIS!$D$6:$F$14,MATCH(PREMISSAS!$B$11,TABELAS_OFICIAIS!$A$6:$A$14,0),1),0)+IF($D6&gt;=2,INDEX(TABELAS_OFICIAIS!$D$6:$F$14,MATCH(PREMISSAS!$B$11,TABELAS_OFICIAIS!$A$6:$A$14,0),2),0)+IF($D6&gt;=3,MAX(0,MIN($D6,5)-2)*INDEX(TABELAS_OFICIAIS!$D$6:$F$14,MATCH(PREMISSAS!$B$11,TABELAS_OFICIAIS!$A$6:$A$14,0),3),0)+IF(COUNTIFS($E6:$I6,"&gt;"&amp;PREMISSAS!$B$21,$E6:$I6,"&lt;="&amp;PREMISSAS!$B$20)&gt;0,COUNTIFS($E6:$I6,"&gt;"&amp;PREMISSAS!$B$21,$E6:$I6,"&lt;="&amp;PREMISSAS!$B$20)*INDEX(TABELAS_OFICIAIS!$B$21:$B$23,MATCH(PREMISSAS!$B$5,TABELAS_OFICIAIS!$A$21:$A$23,0)),0)+IF($J6&gt;0,$J6*INDEX(TABELAS_OFICIAIS!$B$27:$B$29,MATCH(PREMISSAS!$B$5,TABELAS_OFICIAIS!$A$27:$A$29,0)),0)),"n/d — cotar com a cia"))</f>
        <v/>
      </c>
    </row>
    <row r="7">
      <c r="A7" s="16" t="inlineStr">
        <is>
          <t>Carlos Menezes</t>
        </is>
      </c>
      <c r="B7" s="16" t="inlineStr">
        <is>
          <t>Técnico de som</t>
        </is>
      </c>
      <c r="C7" s="17" t="n">
        <v>10</v>
      </c>
      <c r="D7" s="17" t="n">
        <v>2</v>
      </c>
      <c r="E7" s="17" t="n">
        <v>23</v>
      </c>
      <c r="F7" s="17" t="n">
        <v>28</v>
      </c>
      <c r="G7" s="17" t="n"/>
      <c r="H7" s="17" t="n"/>
      <c r="I7" s="17" t="n"/>
      <c r="J7" s="17" t="n">
        <v>0</v>
      </c>
      <c r="K7" s="18">
        <f>IF($A7="","",SUM($E7:$I7))</f>
        <v/>
      </c>
      <c r="L7" s="18">
        <f>IF($A7="","",IF(COUNT($E7:$I7)=0,0,MAX($E7:$I7)))</f>
        <v/>
      </c>
      <c r="M7" s="19">
        <f>IF($A7="","",IF($C7&gt;PREMISSAS!$B$22,"acima de "&amp;PREMISSAS!$B$22&amp;" kg — confira o contrato da cia","ok"))</f>
        <v/>
      </c>
      <c r="N7" s="20">
        <f>IF($A7="","",IF($L7&gt;PREMISSAS!$B$19,"EXCESSO","ok"))</f>
        <v/>
      </c>
      <c r="O7" s="20">
        <f>IF($A7="","",IF($L7&gt;PREMISSAS!$B$20,"RECUSADO — vira carga",""))</f>
        <v/>
      </c>
      <c r="P7" s="21">
        <f>IF($A7="","",IFERROR(PREMISSAS!$B$7*(IF($D7&gt;=1,INDEX(TABELAS_OFICIAIS!$D$6:$F$14,MATCH(PREMISSAS!$B$11,TABELAS_OFICIAIS!$A$6:$A$14,0),1),0)+IF($D7&gt;=2,INDEX(TABELAS_OFICIAIS!$D$6:$F$14,MATCH(PREMISSAS!$B$11,TABELAS_OFICIAIS!$A$6:$A$14,0),2),0)+IF($D7&gt;=3,MAX(0,MIN($D7,5)-2)*INDEX(TABELAS_OFICIAIS!$D$6:$F$14,MATCH(PREMISSAS!$B$11,TABELAS_OFICIAIS!$A$6:$A$14,0),3),0)+IF(COUNTIFS($E7:$I7,"&gt;"&amp;PREMISSAS!$B$21,$E7:$I7,"&lt;="&amp;PREMISSAS!$B$20)&gt;0,COUNTIFS($E7:$I7,"&gt;"&amp;PREMISSAS!$B$21,$E7:$I7,"&lt;="&amp;PREMISSAS!$B$20)*INDEX(TABELAS_OFICIAIS!$B$21:$B$23,MATCH(PREMISSAS!$B$5,TABELAS_OFICIAIS!$A$21:$A$23,0)),0)+IF($J7&gt;0,$J7*INDEX(TABELAS_OFICIAIS!$B$27:$B$29,MATCH(PREMISSAS!$B$5,TABELAS_OFICIAIS!$A$27:$A$29,0)),0)),"n/d — cotar com a cia"))</f>
        <v/>
      </c>
    </row>
    <row r="8">
      <c r="A8" s="16" t="inlineStr">
        <is>
          <t>Diego Alves</t>
        </is>
      </c>
      <c r="B8" s="16" t="inlineStr">
        <is>
          <t>Baterista</t>
        </is>
      </c>
      <c r="C8" s="17" t="n">
        <v>8</v>
      </c>
      <c r="D8" s="17" t="n">
        <v>1</v>
      </c>
      <c r="E8" s="17" t="n">
        <v>23</v>
      </c>
      <c r="F8" s="17" t="n"/>
      <c r="G8" s="17" t="n"/>
      <c r="H8" s="17" t="n"/>
      <c r="I8" s="17" t="n"/>
      <c r="J8" s="17" t="n">
        <v>1</v>
      </c>
      <c r="K8" s="18">
        <f>IF($A8="","",SUM($E8:$I8))</f>
        <v/>
      </c>
      <c r="L8" s="18">
        <f>IF($A8="","",IF(COUNT($E8:$I8)=0,0,MAX($E8:$I8)))</f>
        <v/>
      </c>
      <c r="M8" s="19">
        <f>IF($A8="","",IF($C8&gt;PREMISSAS!$B$22,"acima de "&amp;PREMISSAS!$B$22&amp;" kg — confira o contrato da cia","ok"))</f>
        <v/>
      </c>
      <c r="N8" s="20">
        <f>IF($A8="","",IF($L8&gt;PREMISSAS!$B$19,"EXCESSO","ok"))</f>
        <v/>
      </c>
      <c r="O8" s="20">
        <f>IF($A8="","",IF($L8&gt;PREMISSAS!$B$20,"RECUSADO — vira carga",""))</f>
        <v/>
      </c>
      <c r="P8" s="21">
        <f>IF($A8="","",IFERROR(PREMISSAS!$B$7*(IF($D8&gt;=1,INDEX(TABELAS_OFICIAIS!$D$6:$F$14,MATCH(PREMISSAS!$B$11,TABELAS_OFICIAIS!$A$6:$A$14,0),1),0)+IF($D8&gt;=2,INDEX(TABELAS_OFICIAIS!$D$6:$F$14,MATCH(PREMISSAS!$B$11,TABELAS_OFICIAIS!$A$6:$A$14,0),2),0)+IF($D8&gt;=3,MAX(0,MIN($D8,5)-2)*INDEX(TABELAS_OFICIAIS!$D$6:$F$14,MATCH(PREMISSAS!$B$11,TABELAS_OFICIAIS!$A$6:$A$14,0),3),0)+IF(COUNTIFS($E8:$I8,"&gt;"&amp;PREMISSAS!$B$21,$E8:$I8,"&lt;="&amp;PREMISSAS!$B$20)&gt;0,COUNTIFS($E8:$I8,"&gt;"&amp;PREMISSAS!$B$21,$E8:$I8,"&lt;="&amp;PREMISSAS!$B$20)*INDEX(TABELAS_OFICIAIS!$B$21:$B$23,MATCH(PREMISSAS!$B$5,TABELAS_OFICIAIS!$A$21:$A$23,0)),0)+IF($J8&gt;0,$J8*INDEX(TABELAS_OFICIAIS!$B$27:$B$29,MATCH(PREMISSAS!$B$5,TABELAS_OFICIAIS!$A$27:$A$29,0)),0)),"n/d — cotar com a cia"))</f>
        <v/>
      </c>
    </row>
    <row r="9">
      <c r="A9" s="16" t="inlineStr">
        <is>
          <t>Fernanda Luz</t>
        </is>
      </c>
      <c r="B9" s="16" t="inlineStr">
        <is>
          <t>Iluminadora</t>
        </is>
      </c>
      <c r="C9" s="17" t="n">
        <v>12</v>
      </c>
      <c r="D9" s="17" t="n">
        <v>1</v>
      </c>
      <c r="E9" s="17" t="n">
        <v>23</v>
      </c>
      <c r="F9" s="17" t="n"/>
      <c r="G9" s="17" t="n"/>
      <c r="H9" s="17" t="n"/>
      <c r="I9" s="17" t="n"/>
      <c r="J9" s="17" t="n">
        <v>0</v>
      </c>
      <c r="K9" s="18">
        <f>IF($A9="","",SUM($E9:$I9))</f>
        <v/>
      </c>
      <c r="L9" s="18">
        <f>IF($A9="","",IF(COUNT($E9:$I9)=0,0,MAX($E9:$I9)))</f>
        <v/>
      </c>
      <c r="M9" s="19">
        <f>IF($A9="","",IF($C9&gt;PREMISSAS!$B$22,"acima de "&amp;PREMISSAS!$B$22&amp;" kg — confira o contrato da cia","ok"))</f>
        <v/>
      </c>
      <c r="N9" s="20">
        <f>IF($A9="","",IF($L9&gt;PREMISSAS!$B$19,"EXCESSO","ok"))</f>
        <v/>
      </c>
      <c r="O9" s="20">
        <f>IF($A9="","",IF($L9&gt;PREMISSAS!$B$20,"RECUSADO — vira carga",""))</f>
        <v/>
      </c>
      <c r="P9" s="21">
        <f>IF($A9="","",IFERROR(PREMISSAS!$B$7*(IF($D9&gt;=1,INDEX(TABELAS_OFICIAIS!$D$6:$F$14,MATCH(PREMISSAS!$B$11,TABELAS_OFICIAIS!$A$6:$A$14,0),1),0)+IF($D9&gt;=2,INDEX(TABELAS_OFICIAIS!$D$6:$F$14,MATCH(PREMISSAS!$B$11,TABELAS_OFICIAIS!$A$6:$A$14,0),2),0)+IF($D9&gt;=3,MAX(0,MIN($D9,5)-2)*INDEX(TABELAS_OFICIAIS!$D$6:$F$14,MATCH(PREMISSAS!$B$11,TABELAS_OFICIAIS!$A$6:$A$14,0),3),0)+IF(COUNTIFS($E9:$I9,"&gt;"&amp;PREMISSAS!$B$21,$E9:$I9,"&lt;="&amp;PREMISSAS!$B$20)&gt;0,COUNTIFS($E9:$I9,"&gt;"&amp;PREMISSAS!$B$21,$E9:$I9,"&lt;="&amp;PREMISSAS!$B$20)*INDEX(TABELAS_OFICIAIS!$B$21:$B$23,MATCH(PREMISSAS!$B$5,TABELAS_OFICIAIS!$A$21:$A$23,0)),0)+IF($J9&gt;0,$J9*INDEX(TABELAS_OFICIAIS!$B$27:$B$29,MATCH(PREMISSAS!$B$5,TABELAS_OFICIAIS!$A$27:$A$29,0)),0)),"n/d — cotar com a cia"))</f>
        <v/>
      </c>
    </row>
    <row r="10">
      <c r="A10" s="16" t="inlineStr">
        <is>
          <t>Gustavo Pinto</t>
        </is>
      </c>
      <c r="B10" s="16" t="inlineStr">
        <is>
          <t>Roadie</t>
        </is>
      </c>
      <c r="C10" s="17" t="n">
        <v>10</v>
      </c>
      <c r="D10" s="17" t="n">
        <v>3</v>
      </c>
      <c r="E10" s="17" t="n">
        <v>23</v>
      </c>
      <c r="F10" s="17" t="n">
        <v>23</v>
      </c>
      <c r="G10" s="17" t="n">
        <v>34</v>
      </c>
      <c r="H10" s="17" t="n"/>
      <c r="I10" s="17" t="n"/>
      <c r="J10" s="17" t="n">
        <v>0</v>
      </c>
      <c r="K10" s="18">
        <f>IF($A10="","",SUM($E10:$I10))</f>
        <v/>
      </c>
      <c r="L10" s="18">
        <f>IF($A10="","",IF(COUNT($E10:$I10)=0,0,MAX($E10:$I10)))</f>
        <v/>
      </c>
      <c r="M10" s="19">
        <f>IF($A10="","",IF($C10&gt;PREMISSAS!$B$22,"acima de "&amp;PREMISSAS!$B$22&amp;" kg — confira o contrato da cia","ok"))</f>
        <v/>
      </c>
      <c r="N10" s="20">
        <f>IF($A10="","",IF($L10&gt;PREMISSAS!$B$19,"EXCESSO","ok"))</f>
        <v/>
      </c>
      <c r="O10" s="20">
        <f>IF($A10="","",IF($L10&gt;PREMISSAS!$B$20,"RECUSADO — vira carga",""))</f>
        <v/>
      </c>
      <c r="P10" s="21">
        <f>IF($A10="","",IFERROR(PREMISSAS!$B$7*(IF($D10&gt;=1,INDEX(TABELAS_OFICIAIS!$D$6:$F$14,MATCH(PREMISSAS!$B$11,TABELAS_OFICIAIS!$A$6:$A$14,0),1),0)+IF($D10&gt;=2,INDEX(TABELAS_OFICIAIS!$D$6:$F$14,MATCH(PREMISSAS!$B$11,TABELAS_OFICIAIS!$A$6:$A$14,0),2),0)+IF($D10&gt;=3,MAX(0,MIN($D10,5)-2)*INDEX(TABELAS_OFICIAIS!$D$6:$F$14,MATCH(PREMISSAS!$B$11,TABELAS_OFICIAIS!$A$6:$A$14,0),3),0)+IF(COUNTIFS($E10:$I10,"&gt;"&amp;PREMISSAS!$B$21,$E10:$I10,"&lt;="&amp;PREMISSAS!$B$20)&gt;0,COUNTIFS($E10:$I10,"&gt;"&amp;PREMISSAS!$B$21,$E10:$I10,"&lt;="&amp;PREMISSAS!$B$20)*INDEX(TABELAS_OFICIAIS!$B$21:$B$23,MATCH(PREMISSAS!$B$5,TABELAS_OFICIAIS!$A$21:$A$23,0)),0)+IF($J10&gt;0,$J10*INDEX(TABELAS_OFICIAIS!$B$27:$B$29,MATCH(PREMISSAS!$B$5,TABELAS_OFICIAIS!$A$27:$A$29,0)),0)),"n/d — cotar com a cia"))</f>
        <v/>
      </c>
    </row>
    <row r="11">
      <c r="A11" s="16" t="inlineStr">
        <is>
          <t>Helena Braga</t>
        </is>
      </c>
      <c r="B11" s="16" t="inlineStr">
        <is>
          <t>Backing vocal</t>
        </is>
      </c>
      <c r="C11" s="17" t="n">
        <v>7</v>
      </c>
      <c r="D11" s="17" t="n">
        <v>1</v>
      </c>
      <c r="E11" s="17" t="n">
        <v>18</v>
      </c>
      <c r="F11" s="17" t="n"/>
      <c r="G11" s="17" t="n"/>
      <c r="H11" s="17" t="n"/>
      <c r="I11" s="17" t="n"/>
      <c r="J11" s="17" t="n">
        <v>0</v>
      </c>
      <c r="K11" s="18">
        <f>IF($A11="","",SUM($E11:$I11))</f>
        <v/>
      </c>
      <c r="L11" s="18">
        <f>IF($A11="","",IF(COUNT($E11:$I11)=0,0,MAX($E11:$I11)))</f>
        <v/>
      </c>
      <c r="M11" s="19">
        <f>IF($A11="","",IF($C11&gt;PREMISSAS!$B$22,"acima de "&amp;PREMISSAS!$B$22&amp;" kg — confira o contrato da cia","ok"))</f>
        <v/>
      </c>
      <c r="N11" s="20">
        <f>IF($A11="","",IF($L11&gt;PREMISSAS!$B$19,"EXCESSO","ok"))</f>
        <v/>
      </c>
      <c r="O11" s="20">
        <f>IF($A11="","",IF($L11&gt;PREMISSAS!$B$20,"RECUSADO — vira carga",""))</f>
        <v/>
      </c>
      <c r="P11" s="21">
        <f>IF($A11="","",IFERROR(PREMISSAS!$B$7*(IF($D11&gt;=1,INDEX(TABELAS_OFICIAIS!$D$6:$F$14,MATCH(PREMISSAS!$B$11,TABELAS_OFICIAIS!$A$6:$A$14,0),1),0)+IF($D11&gt;=2,INDEX(TABELAS_OFICIAIS!$D$6:$F$14,MATCH(PREMISSAS!$B$11,TABELAS_OFICIAIS!$A$6:$A$14,0),2),0)+IF($D11&gt;=3,MAX(0,MIN($D11,5)-2)*INDEX(TABELAS_OFICIAIS!$D$6:$F$14,MATCH(PREMISSAS!$B$11,TABELAS_OFICIAIS!$A$6:$A$14,0),3),0)+IF(COUNTIFS($E11:$I11,"&gt;"&amp;PREMISSAS!$B$21,$E11:$I11,"&lt;="&amp;PREMISSAS!$B$20)&gt;0,COUNTIFS($E11:$I11,"&gt;"&amp;PREMISSAS!$B$21,$E11:$I11,"&lt;="&amp;PREMISSAS!$B$20)*INDEX(TABELAS_OFICIAIS!$B$21:$B$23,MATCH(PREMISSAS!$B$5,TABELAS_OFICIAIS!$A$21:$A$23,0)),0)+IF($J11&gt;0,$J11*INDEX(TABELAS_OFICIAIS!$B$27:$B$29,MATCH(PREMISSAS!$B$5,TABELAS_OFICIAIS!$A$27:$A$29,0)),0)),"n/d — cotar com a cia"))</f>
        <v/>
      </c>
    </row>
    <row r="12">
      <c r="A12" s="16" t="inlineStr">
        <is>
          <t>Ivan Cordeiro</t>
        </is>
      </c>
      <c r="B12" s="16" t="inlineStr">
        <is>
          <t>Contrabaixista</t>
        </is>
      </c>
      <c r="C12" s="17" t="n">
        <v>9</v>
      </c>
      <c r="D12" s="17" t="n">
        <v>1</v>
      </c>
      <c r="E12" s="17" t="n">
        <v>23</v>
      </c>
      <c r="F12" s="17" t="n"/>
      <c r="G12" s="17" t="n"/>
      <c r="H12" s="17" t="n"/>
      <c r="I12" s="17" t="n"/>
      <c r="J12" s="17" t="n">
        <v>1</v>
      </c>
      <c r="K12" s="18">
        <f>IF($A12="","",SUM($E12:$I12))</f>
        <v/>
      </c>
      <c r="L12" s="18">
        <f>IF($A12="","",IF(COUNT($E12:$I12)=0,0,MAX($E12:$I12)))</f>
        <v/>
      </c>
      <c r="M12" s="19">
        <f>IF($A12="","",IF($C12&gt;PREMISSAS!$B$22,"acima de "&amp;PREMISSAS!$B$22&amp;" kg — confira o contrato da cia","ok"))</f>
        <v/>
      </c>
      <c r="N12" s="20">
        <f>IF($A12="","",IF($L12&gt;PREMISSAS!$B$19,"EXCESSO","ok"))</f>
        <v/>
      </c>
      <c r="O12" s="20">
        <f>IF($A12="","",IF($L12&gt;PREMISSAS!$B$20,"RECUSADO — vira carga",""))</f>
        <v/>
      </c>
      <c r="P12" s="21">
        <f>IF($A12="","",IFERROR(PREMISSAS!$B$7*(IF($D12&gt;=1,INDEX(TABELAS_OFICIAIS!$D$6:$F$14,MATCH(PREMISSAS!$B$11,TABELAS_OFICIAIS!$A$6:$A$14,0),1),0)+IF($D12&gt;=2,INDEX(TABELAS_OFICIAIS!$D$6:$F$14,MATCH(PREMISSAS!$B$11,TABELAS_OFICIAIS!$A$6:$A$14,0),2),0)+IF($D12&gt;=3,MAX(0,MIN($D12,5)-2)*INDEX(TABELAS_OFICIAIS!$D$6:$F$14,MATCH(PREMISSAS!$B$11,TABELAS_OFICIAIS!$A$6:$A$14,0),3),0)+IF(COUNTIFS($E12:$I12,"&gt;"&amp;PREMISSAS!$B$21,$E12:$I12,"&lt;="&amp;PREMISSAS!$B$20)&gt;0,COUNTIFS($E12:$I12,"&gt;"&amp;PREMISSAS!$B$21,$E12:$I12,"&lt;="&amp;PREMISSAS!$B$20)*INDEX(TABELAS_OFICIAIS!$B$21:$B$23,MATCH(PREMISSAS!$B$5,TABELAS_OFICIAIS!$A$21:$A$23,0)),0)+IF($J12&gt;0,$J12*INDEX(TABELAS_OFICIAIS!$B$27:$B$29,MATCH(PREMISSAS!$B$5,TABELAS_OFICIAIS!$A$27:$A$29,0)),0)),"n/d — cotar com a cia"))</f>
        <v/>
      </c>
    </row>
    <row r="13">
      <c r="A13" s="16" t="inlineStr">
        <is>
          <t>Júlia Prado</t>
        </is>
      </c>
      <c r="B13" s="16" t="inlineStr">
        <is>
          <t>Assistente de palco</t>
        </is>
      </c>
      <c r="C13" s="17" t="n">
        <v>8</v>
      </c>
      <c r="D13" s="17" t="n">
        <v>1</v>
      </c>
      <c r="E13" s="17" t="n">
        <v>21</v>
      </c>
      <c r="F13" s="17" t="n"/>
      <c r="G13" s="17" t="n"/>
      <c r="H13" s="17" t="n"/>
      <c r="I13" s="17" t="n"/>
      <c r="J13" s="17" t="n">
        <v>0</v>
      </c>
      <c r="K13" s="18">
        <f>IF($A13="","",SUM($E13:$I13))</f>
        <v/>
      </c>
      <c r="L13" s="18">
        <f>IF($A13="","",IF(COUNT($E13:$I13)=0,0,MAX($E13:$I13)))</f>
        <v/>
      </c>
      <c r="M13" s="19">
        <f>IF($A13="","",IF($C13&gt;PREMISSAS!$B$22,"acima de "&amp;PREMISSAS!$B$22&amp;" kg — confira o contrato da cia","ok"))</f>
        <v/>
      </c>
      <c r="N13" s="20">
        <f>IF($A13="","",IF($L13&gt;PREMISSAS!$B$19,"EXCESSO","ok"))</f>
        <v/>
      </c>
      <c r="O13" s="20">
        <f>IF($A13="","",IF($L13&gt;PREMISSAS!$B$20,"RECUSADO — vira carga",""))</f>
        <v/>
      </c>
      <c r="P13" s="21">
        <f>IF($A13="","",IFERROR(PREMISSAS!$B$7*(IF($D13&gt;=1,INDEX(TABELAS_OFICIAIS!$D$6:$F$14,MATCH(PREMISSAS!$B$11,TABELAS_OFICIAIS!$A$6:$A$14,0),1),0)+IF($D13&gt;=2,INDEX(TABELAS_OFICIAIS!$D$6:$F$14,MATCH(PREMISSAS!$B$11,TABELAS_OFICIAIS!$A$6:$A$14,0),2),0)+IF($D13&gt;=3,MAX(0,MIN($D13,5)-2)*INDEX(TABELAS_OFICIAIS!$D$6:$F$14,MATCH(PREMISSAS!$B$11,TABELAS_OFICIAIS!$A$6:$A$14,0),3),0)+IF(COUNTIFS($E13:$I13,"&gt;"&amp;PREMISSAS!$B$21,$E13:$I13,"&lt;="&amp;PREMISSAS!$B$20)&gt;0,COUNTIFS($E13:$I13,"&gt;"&amp;PREMISSAS!$B$21,$E13:$I13,"&lt;="&amp;PREMISSAS!$B$20)*INDEX(TABELAS_OFICIAIS!$B$21:$B$23,MATCH(PREMISSAS!$B$5,TABELAS_OFICIAIS!$A$21:$A$23,0)),0)+IF($J13&gt;0,$J13*INDEX(TABELAS_OFICIAIS!$B$27:$B$29,MATCH(PREMISSAS!$B$5,TABELAS_OFICIAIS!$A$27:$A$29,0)),0)),"n/d — cotar com a cia"))</f>
        <v/>
      </c>
    </row>
    <row r="14">
      <c r="A14" s="16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8">
        <f>IF($A14="","",SUM($E14:$I14))</f>
        <v/>
      </c>
      <c r="L14" s="18">
        <f>IF($A14="","",IF(COUNT($E14:$I14)=0,0,MAX($E14:$I14)))</f>
        <v/>
      </c>
      <c r="M14" s="19">
        <f>IF($A14="","",IF($C14&gt;PREMISSAS!$B$22,"acima de "&amp;PREMISSAS!$B$22&amp;" kg — confira o contrato da cia","ok"))</f>
        <v/>
      </c>
      <c r="N14" s="20">
        <f>IF($A14="","",IF($L14&gt;PREMISSAS!$B$19,"EXCESSO","ok"))</f>
        <v/>
      </c>
      <c r="O14" s="20">
        <f>IF($A14="","",IF($L14&gt;PREMISSAS!$B$20,"RECUSADO — vira carga",""))</f>
        <v/>
      </c>
      <c r="P14" s="21">
        <f>IF($A14="","",IFERROR(PREMISSAS!$B$7*(IF($D14&gt;=1,INDEX(TABELAS_OFICIAIS!$D$6:$F$14,MATCH(PREMISSAS!$B$11,TABELAS_OFICIAIS!$A$6:$A$14,0),1),0)+IF($D14&gt;=2,INDEX(TABELAS_OFICIAIS!$D$6:$F$14,MATCH(PREMISSAS!$B$11,TABELAS_OFICIAIS!$A$6:$A$14,0),2),0)+IF($D14&gt;=3,MAX(0,MIN($D14,5)-2)*INDEX(TABELAS_OFICIAIS!$D$6:$F$14,MATCH(PREMISSAS!$B$11,TABELAS_OFICIAIS!$A$6:$A$14,0),3),0)+IF(COUNTIFS($E14:$I14,"&gt;"&amp;PREMISSAS!$B$21,$E14:$I14,"&lt;="&amp;PREMISSAS!$B$20)&gt;0,COUNTIFS($E14:$I14,"&gt;"&amp;PREMISSAS!$B$21,$E14:$I14,"&lt;="&amp;PREMISSAS!$B$20)*INDEX(TABELAS_OFICIAIS!$B$21:$B$23,MATCH(PREMISSAS!$B$5,TABELAS_OFICIAIS!$A$21:$A$23,0)),0)+IF($J14&gt;0,$J14*INDEX(TABELAS_OFICIAIS!$B$27:$B$29,MATCH(PREMISSAS!$B$5,TABELAS_OFICIAIS!$A$27:$A$29,0)),0)),"n/d — cotar com a cia"))</f>
        <v/>
      </c>
    </row>
    <row r="15">
      <c r="A15" s="16" t="n"/>
      <c r="B15" s="16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8">
        <f>IF($A15="","",SUM($E15:$I15))</f>
        <v/>
      </c>
      <c r="L15" s="18">
        <f>IF($A15="","",IF(COUNT($E15:$I15)=0,0,MAX($E15:$I15)))</f>
        <v/>
      </c>
      <c r="M15" s="19">
        <f>IF($A15="","",IF($C15&gt;PREMISSAS!$B$22,"acima de "&amp;PREMISSAS!$B$22&amp;" kg — confira o contrato da cia","ok"))</f>
        <v/>
      </c>
      <c r="N15" s="20">
        <f>IF($A15="","",IF($L15&gt;PREMISSAS!$B$19,"EXCESSO","ok"))</f>
        <v/>
      </c>
      <c r="O15" s="20">
        <f>IF($A15="","",IF($L15&gt;PREMISSAS!$B$20,"RECUSADO — vira carga",""))</f>
        <v/>
      </c>
      <c r="P15" s="21">
        <f>IF($A15="","",IFERROR(PREMISSAS!$B$7*(IF($D15&gt;=1,INDEX(TABELAS_OFICIAIS!$D$6:$F$14,MATCH(PREMISSAS!$B$11,TABELAS_OFICIAIS!$A$6:$A$14,0),1),0)+IF($D15&gt;=2,INDEX(TABELAS_OFICIAIS!$D$6:$F$14,MATCH(PREMISSAS!$B$11,TABELAS_OFICIAIS!$A$6:$A$14,0),2),0)+IF($D15&gt;=3,MAX(0,MIN($D15,5)-2)*INDEX(TABELAS_OFICIAIS!$D$6:$F$14,MATCH(PREMISSAS!$B$11,TABELAS_OFICIAIS!$A$6:$A$14,0),3),0)+IF(COUNTIFS($E15:$I15,"&gt;"&amp;PREMISSAS!$B$21,$E15:$I15,"&lt;="&amp;PREMISSAS!$B$20)&gt;0,COUNTIFS($E15:$I15,"&gt;"&amp;PREMISSAS!$B$21,$E15:$I15,"&lt;="&amp;PREMISSAS!$B$20)*INDEX(TABELAS_OFICIAIS!$B$21:$B$23,MATCH(PREMISSAS!$B$5,TABELAS_OFICIAIS!$A$21:$A$23,0)),0)+IF($J15&gt;0,$J15*INDEX(TABELAS_OFICIAIS!$B$27:$B$29,MATCH(PREMISSAS!$B$5,TABELAS_OFICIAIS!$A$27:$A$29,0)),0)),"n/d — cotar com a cia"))</f>
        <v/>
      </c>
    </row>
    <row r="16">
      <c r="A16" s="16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>
        <f>IF($A16="","",SUM($E16:$I16))</f>
        <v/>
      </c>
      <c r="L16" s="18">
        <f>IF($A16="","",IF(COUNT($E16:$I16)=0,0,MAX($E16:$I16)))</f>
        <v/>
      </c>
      <c r="M16" s="19">
        <f>IF($A16="","",IF($C16&gt;PREMISSAS!$B$22,"acima de "&amp;PREMISSAS!$B$22&amp;" kg — confira o contrato da cia","ok"))</f>
        <v/>
      </c>
      <c r="N16" s="20">
        <f>IF($A16="","",IF($L16&gt;PREMISSAS!$B$19,"EXCESSO","ok"))</f>
        <v/>
      </c>
      <c r="O16" s="20">
        <f>IF($A16="","",IF($L16&gt;PREMISSAS!$B$20,"RECUSADO — vira carga",""))</f>
        <v/>
      </c>
      <c r="P16" s="21">
        <f>IF($A16="","",IFERROR(PREMISSAS!$B$7*(IF($D16&gt;=1,INDEX(TABELAS_OFICIAIS!$D$6:$F$14,MATCH(PREMISSAS!$B$11,TABELAS_OFICIAIS!$A$6:$A$14,0),1),0)+IF($D16&gt;=2,INDEX(TABELAS_OFICIAIS!$D$6:$F$14,MATCH(PREMISSAS!$B$11,TABELAS_OFICIAIS!$A$6:$A$14,0),2),0)+IF($D16&gt;=3,MAX(0,MIN($D16,5)-2)*INDEX(TABELAS_OFICIAIS!$D$6:$F$14,MATCH(PREMISSAS!$B$11,TABELAS_OFICIAIS!$A$6:$A$14,0),3),0)+IF(COUNTIFS($E16:$I16,"&gt;"&amp;PREMISSAS!$B$21,$E16:$I16,"&lt;="&amp;PREMISSAS!$B$20)&gt;0,COUNTIFS($E16:$I16,"&gt;"&amp;PREMISSAS!$B$21,$E16:$I16,"&lt;="&amp;PREMISSAS!$B$20)*INDEX(TABELAS_OFICIAIS!$B$21:$B$23,MATCH(PREMISSAS!$B$5,TABELAS_OFICIAIS!$A$21:$A$23,0)),0)+IF($J16&gt;0,$J16*INDEX(TABELAS_OFICIAIS!$B$27:$B$29,MATCH(PREMISSAS!$B$5,TABELAS_OFICIAIS!$A$27:$A$29,0)),0)),"n/d — cotar com a cia"))</f>
        <v/>
      </c>
    </row>
    <row r="17">
      <c r="A17" s="16" t="n"/>
      <c r="B17" s="16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8">
        <f>IF($A17="","",SUM($E17:$I17))</f>
        <v/>
      </c>
      <c r="L17" s="18">
        <f>IF($A17="","",IF(COUNT($E17:$I17)=0,0,MAX($E17:$I17)))</f>
        <v/>
      </c>
      <c r="M17" s="19">
        <f>IF($A17="","",IF($C17&gt;PREMISSAS!$B$22,"acima de "&amp;PREMISSAS!$B$22&amp;" kg — confira o contrato da cia","ok"))</f>
        <v/>
      </c>
      <c r="N17" s="20">
        <f>IF($A17="","",IF($L17&gt;PREMISSAS!$B$19,"EXCESSO","ok"))</f>
        <v/>
      </c>
      <c r="O17" s="20">
        <f>IF($A17="","",IF($L17&gt;PREMISSAS!$B$20,"RECUSADO — vira carga",""))</f>
        <v/>
      </c>
      <c r="P17" s="21">
        <f>IF($A17="","",IFERROR(PREMISSAS!$B$7*(IF($D17&gt;=1,INDEX(TABELAS_OFICIAIS!$D$6:$F$14,MATCH(PREMISSAS!$B$11,TABELAS_OFICIAIS!$A$6:$A$14,0),1),0)+IF($D17&gt;=2,INDEX(TABELAS_OFICIAIS!$D$6:$F$14,MATCH(PREMISSAS!$B$11,TABELAS_OFICIAIS!$A$6:$A$14,0),2),0)+IF($D17&gt;=3,MAX(0,MIN($D17,5)-2)*INDEX(TABELAS_OFICIAIS!$D$6:$F$14,MATCH(PREMISSAS!$B$11,TABELAS_OFICIAIS!$A$6:$A$14,0),3),0)+IF(COUNTIFS($E17:$I17,"&gt;"&amp;PREMISSAS!$B$21,$E17:$I17,"&lt;="&amp;PREMISSAS!$B$20)&gt;0,COUNTIFS($E17:$I17,"&gt;"&amp;PREMISSAS!$B$21,$E17:$I17,"&lt;="&amp;PREMISSAS!$B$20)*INDEX(TABELAS_OFICIAIS!$B$21:$B$23,MATCH(PREMISSAS!$B$5,TABELAS_OFICIAIS!$A$21:$A$23,0)),0)+IF($J17&gt;0,$J17*INDEX(TABELAS_OFICIAIS!$B$27:$B$29,MATCH(PREMISSAS!$B$5,TABELAS_OFICIAIS!$A$27:$A$29,0)),0)),"n/d — cotar com a cia"))</f>
        <v/>
      </c>
    </row>
    <row r="18">
      <c r="A18" s="16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>
        <f>IF($A18="","",SUM($E18:$I18))</f>
        <v/>
      </c>
      <c r="L18" s="18">
        <f>IF($A18="","",IF(COUNT($E18:$I18)=0,0,MAX($E18:$I18)))</f>
        <v/>
      </c>
      <c r="M18" s="19">
        <f>IF($A18="","",IF($C18&gt;PREMISSAS!$B$22,"acima de "&amp;PREMISSAS!$B$22&amp;" kg — confira o contrato da cia","ok"))</f>
        <v/>
      </c>
      <c r="N18" s="20">
        <f>IF($A18="","",IF($L18&gt;PREMISSAS!$B$19,"EXCESSO","ok"))</f>
        <v/>
      </c>
      <c r="O18" s="20">
        <f>IF($A18="","",IF($L18&gt;PREMISSAS!$B$20,"RECUSADO — vira carga",""))</f>
        <v/>
      </c>
      <c r="P18" s="21">
        <f>IF($A18="","",IFERROR(PREMISSAS!$B$7*(IF($D18&gt;=1,INDEX(TABELAS_OFICIAIS!$D$6:$F$14,MATCH(PREMISSAS!$B$11,TABELAS_OFICIAIS!$A$6:$A$14,0),1),0)+IF($D18&gt;=2,INDEX(TABELAS_OFICIAIS!$D$6:$F$14,MATCH(PREMISSAS!$B$11,TABELAS_OFICIAIS!$A$6:$A$14,0),2),0)+IF($D18&gt;=3,MAX(0,MIN($D18,5)-2)*INDEX(TABELAS_OFICIAIS!$D$6:$F$14,MATCH(PREMISSAS!$B$11,TABELAS_OFICIAIS!$A$6:$A$14,0),3),0)+IF(COUNTIFS($E18:$I18,"&gt;"&amp;PREMISSAS!$B$21,$E18:$I18,"&lt;="&amp;PREMISSAS!$B$20)&gt;0,COUNTIFS($E18:$I18,"&gt;"&amp;PREMISSAS!$B$21,$E18:$I18,"&lt;="&amp;PREMISSAS!$B$20)*INDEX(TABELAS_OFICIAIS!$B$21:$B$23,MATCH(PREMISSAS!$B$5,TABELAS_OFICIAIS!$A$21:$A$23,0)),0)+IF($J18&gt;0,$J18*INDEX(TABELAS_OFICIAIS!$B$27:$B$29,MATCH(PREMISSAS!$B$5,TABELAS_OFICIAIS!$A$27:$A$29,0)),0)),"n/d — cotar com a cia"))</f>
        <v/>
      </c>
    </row>
    <row r="19">
      <c r="A19" s="16" t="n"/>
      <c r="B19" s="16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8">
        <f>IF($A19="","",SUM($E19:$I19))</f>
        <v/>
      </c>
      <c r="L19" s="18">
        <f>IF($A19="","",IF(COUNT($E19:$I19)=0,0,MAX($E19:$I19)))</f>
        <v/>
      </c>
      <c r="M19" s="19">
        <f>IF($A19="","",IF($C19&gt;PREMISSAS!$B$22,"acima de "&amp;PREMISSAS!$B$22&amp;" kg — confira o contrato da cia","ok"))</f>
        <v/>
      </c>
      <c r="N19" s="20">
        <f>IF($A19="","",IF($L19&gt;PREMISSAS!$B$19,"EXCESSO","ok"))</f>
        <v/>
      </c>
      <c r="O19" s="20">
        <f>IF($A19="","",IF($L19&gt;PREMISSAS!$B$20,"RECUSADO — vira carga",""))</f>
        <v/>
      </c>
      <c r="P19" s="21">
        <f>IF($A19="","",IFERROR(PREMISSAS!$B$7*(IF($D19&gt;=1,INDEX(TABELAS_OFICIAIS!$D$6:$F$14,MATCH(PREMISSAS!$B$11,TABELAS_OFICIAIS!$A$6:$A$14,0),1),0)+IF($D19&gt;=2,INDEX(TABELAS_OFICIAIS!$D$6:$F$14,MATCH(PREMISSAS!$B$11,TABELAS_OFICIAIS!$A$6:$A$14,0),2),0)+IF($D19&gt;=3,MAX(0,MIN($D19,5)-2)*INDEX(TABELAS_OFICIAIS!$D$6:$F$14,MATCH(PREMISSAS!$B$11,TABELAS_OFICIAIS!$A$6:$A$14,0),3),0)+IF(COUNTIFS($E19:$I19,"&gt;"&amp;PREMISSAS!$B$21,$E19:$I19,"&lt;="&amp;PREMISSAS!$B$20)&gt;0,COUNTIFS($E19:$I19,"&gt;"&amp;PREMISSAS!$B$21,$E19:$I19,"&lt;="&amp;PREMISSAS!$B$20)*INDEX(TABELAS_OFICIAIS!$B$21:$B$23,MATCH(PREMISSAS!$B$5,TABELAS_OFICIAIS!$A$21:$A$23,0)),0)+IF($J19&gt;0,$J19*INDEX(TABELAS_OFICIAIS!$B$27:$B$29,MATCH(PREMISSAS!$B$5,TABELAS_OFICIAIS!$A$27:$A$29,0)),0)),"n/d — cotar com a cia"))</f>
        <v/>
      </c>
    </row>
    <row r="20">
      <c r="A20" s="16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8">
        <f>IF($A20="","",SUM($E20:$I20))</f>
        <v/>
      </c>
      <c r="L20" s="18">
        <f>IF($A20="","",IF(COUNT($E20:$I20)=0,0,MAX($E20:$I20)))</f>
        <v/>
      </c>
      <c r="M20" s="19">
        <f>IF($A20="","",IF($C20&gt;PREMISSAS!$B$22,"acima de "&amp;PREMISSAS!$B$22&amp;" kg — confira o contrato da cia","ok"))</f>
        <v/>
      </c>
      <c r="N20" s="20">
        <f>IF($A20="","",IF($L20&gt;PREMISSAS!$B$19,"EXCESSO","ok"))</f>
        <v/>
      </c>
      <c r="O20" s="20">
        <f>IF($A20="","",IF($L20&gt;PREMISSAS!$B$20,"RECUSADO — vira carga",""))</f>
        <v/>
      </c>
      <c r="P20" s="21">
        <f>IF($A20="","",IFERROR(PREMISSAS!$B$7*(IF($D20&gt;=1,INDEX(TABELAS_OFICIAIS!$D$6:$F$14,MATCH(PREMISSAS!$B$11,TABELAS_OFICIAIS!$A$6:$A$14,0),1),0)+IF($D20&gt;=2,INDEX(TABELAS_OFICIAIS!$D$6:$F$14,MATCH(PREMISSAS!$B$11,TABELAS_OFICIAIS!$A$6:$A$14,0),2),0)+IF($D20&gt;=3,MAX(0,MIN($D20,5)-2)*INDEX(TABELAS_OFICIAIS!$D$6:$F$14,MATCH(PREMISSAS!$B$11,TABELAS_OFICIAIS!$A$6:$A$14,0),3),0)+IF(COUNTIFS($E20:$I20,"&gt;"&amp;PREMISSAS!$B$21,$E20:$I20,"&lt;="&amp;PREMISSAS!$B$20)&gt;0,COUNTIFS($E20:$I20,"&gt;"&amp;PREMISSAS!$B$21,$E20:$I20,"&lt;="&amp;PREMISSAS!$B$20)*INDEX(TABELAS_OFICIAIS!$B$21:$B$23,MATCH(PREMISSAS!$B$5,TABELAS_OFICIAIS!$A$21:$A$23,0)),0)+IF($J20&gt;0,$J20*INDEX(TABELAS_OFICIAIS!$B$27:$B$29,MATCH(PREMISSAS!$B$5,TABELAS_OFICIAIS!$A$27:$A$29,0)),0)),"n/d — cotar com a cia"))</f>
        <v/>
      </c>
    </row>
    <row r="21">
      <c r="A21" s="16" t="n"/>
      <c r="B21" s="16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8">
        <f>IF($A21="","",SUM($E21:$I21))</f>
        <v/>
      </c>
      <c r="L21" s="18">
        <f>IF($A21="","",IF(COUNT($E21:$I21)=0,0,MAX($E21:$I21)))</f>
        <v/>
      </c>
      <c r="M21" s="19">
        <f>IF($A21="","",IF($C21&gt;PREMISSAS!$B$22,"acima de "&amp;PREMISSAS!$B$22&amp;" kg — confira o contrato da cia","ok"))</f>
        <v/>
      </c>
      <c r="N21" s="20">
        <f>IF($A21="","",IF($L21&gt;PREMISSAS!$B$19,"EXCESSO","ok"))</f>
        <v/>
      </c>
      <c r="O21" s="20">
        <f>IF($A21="","",IF($L21&gt;PREMISSAS!$B$20,"RECUSADO — vira carga",""))</f>
        <v/>
      </c>
      <c r="P21" s="21">
        <f>IF($A21="","",IFERROR(PREMISSAS!$B$7*(IF($D21&gt;=1,INDEX(TABELAS_OFICIAIS!$D$6:$F$14,MATCH(PREMISSAS!$B$11,TABELAS_OFICIAIS!$A$6:$A$14,0),1),0)+IF($D21&gt;=2,INDEX(TABELAS_OFICIAIS!$D$6:$F$14,MATCH(PREMISSAS!$B$11,TABELAS_OFICIAIS!$A$6:$A$14,0),2),0)+IF($D21&gt;=3,MAX(0,MIN($D21,5)-2)*INDEX(TABELAS_OFICIAIS!$D$6:$F$14,MATCH(PREMISSAS!$B$11,TABELAS_OFICIAIS!$A$6:$A$14,0),3),0)+IF(COUNTIFS($E21:$I21,"&gt;"&amp;PREMISSAS!$B$21,$E21:$I21,"&lt;="&amp;PREMISSAS!$B$20)&gt;0,COUNTIFS($E21:$I21,"&gt;"&amp;PREMISSAS!$B$21,$E21:$I21,"&lt;="&amp;PREMISSAS!$B$20)*INDEX(TABELAS_OFICIAIS!$B$21:$B$23,MATCH(PREMISSAS!$B$5,TABELAS_OFICIAIS!$A$21:$A$23,0)),0)+IF($J21&gt;0,$J21*INDEX(TABELAS_OFICIAIS!$B$27:$B$29,MATCH(PREMISSAS!$B$5,TABELAS_OFICIAIS!$A$27:$A$29,0)),0)),"n/d — cotar com a cia"))</f>
        <v/>
      </c>
    </row>
    <row r="22">
      <c r="A22" s="16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>
        <f>IF($A22="","",SUM($E22:$I22))</f>
        <v/>
      </c>
      <c r="L22" s="18">
        <f>IF($A22="","",IF(COUNT($E22:$I22)=0,0,MAX($E22:$I22)))</f>
        <v/>
      </c>
      <c r="M22" s="19">
        <f>IF($A22="","",IF($C22&gt;PREMISSAS!$B$22,"acima de "&amp;PREMISSAS!$B$22&amp;" kg — confira o contrato da cia","ok"))</f>
        <v/>
      </c>
      <c r="N22" s="20">
        <f>IF($A22="","",IF($L22&gt;PREMISSAS!$B$19,"EXCESSO","ok"))</f>
        <v/>
      </c>
      <c r="O22" s="20">
        <f>IF($A22="","",IF($L22&gt;PREMISSAS!$B$20,"RECUSADO — vira carga",""))</f>
        <v/>
      </c>
      <c r="P22" s="21">
        <f>IF($A22="","",IFERROR(PREMISSAS!$B$7*(IF($D22&gt;=1,INDEX(TABELAS_OFICIAIS!$D$6:$F$14,MATCH(PREMISSAS!$B$11,TABELAS_OFICIAIS!$A$6:$A$14,0),1),0)+IF($D22&gt;=2,INDEX(TABELAS_OFICIAIS!$D$6:$F$14,MATCH(PREMISSAS!$B$11,TABELAS_OFICIAIS!$A$6:$A$14,0),2),0)+IF($D22&gt;=3,MAX(0,MIN($D22,5)-2)*INDEX(TABELAS_OFICIAIS!$D$6:$F$14,MATCH(PREMISSAS!$B$11,TABELAS_OFICIAIS!$A$6:$A$14,0),3),0)+IF(COUNTIFS($E22:$I22,"&gt;"&amp;PREMISSAS!$B$21,$E22:$I22,"&lt;="&amp;PREMISSAS!$B$20)&gt;0,COUNTIFS($E22:$I22,"&gt;"&amp;PREMISSAS!$B$21,$E22:$I22,"&lt;="&amp;PREMISSAS!$B$20)*INDEX(TABELAS_OFICIAIS!$B$21:$B$23,MATCH(PREMISSAS!$B$5,TABELAS_OFICIAIS!$A$21:$A$23,0)),0)+IF($J22&gt;0,$J22*INDEX(TABELAS_OFICIAIS!$B$27:$B$29,MATCH(PREMISSAS!$B$5,TABELAS_OFICIAIS!$A$27:$A$29,0)),0)),"n/d — cotar com a cia"))</f>
        <v/>
      </c>
    </row>
    <row r="23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8">
        <f>IF($A23="","",SUM($E23:$I23))</f>
        <v/>
      </c>
      <c r="L23" s="18">
        <f>IF($A23="","",IF(COUNT($E23:$I23)=0,0,MAX($E23:$I23)))</f>
        <v/>
      </c>
      <c r="M23" s="19">
        <f>IF($A23="","",IF($C23&gt;PREMISSAS!$B$22,"acima de "&amp;PREMISSAS!$B$22&amp;" kg — confira o contrato da cia","ok"))</f>
        <v/>
      </c>
      <c r="N23" s="20">
        <f>IF($A23="","",IF($L23&gt;PREMISSAS!$B$19,"EXCESSO","ok"))</f>
        <v/>
      </c>
      <c r="O23" s="20">
        <f>IF($A23="","",IF($L23&gt;PREMISSAS!$B$20,"RECUSADO — vira carga",""))</f>
        <v/>
      </c>
      <c r="P23" s="21">
        <f>IF($A23="","",IFERROR(PREMISSAS!$B$7*(IF($D23&gt;=1,INDEX(TABELAS_OFICIAIS!$D$6:$F$14,MATCH(PREMISSAS!$B$11,TABELAS_OFICIAIS!$A$6:$A$14,0),1),0)+IF($D23&gt;=2,INDEX(TABELAS_OFICIAIS!$D$6:$F$14,MATCH(PREMISSAS!$B$11,TABELAS_OFICIAIS!$A$6:$A$14,0),2),0)+IF($D23&gt;=3,MAX(0,MIN($D23,5)-2)*INDEX(TABELAS_OFICIAIS!$D$6:$F$14,MATCH(PREMISSAS!$B$11,TABELAS_OFICIAIS!$A$6:$A$14,0),3),0)+IF(COUNTIFS($E23:$I23,"&gt;"&amp;PREMISSAS!$B$21,$E23:$I23,"&lt;="&amp;PREMISSAS!$B$20)&gt;0,COUNTIFS($E23:$I23,"&gt;"&amp;PREMISSAS!$B$21,$E23:$I23,"&lt;="&amp;PREMISSAS!$B$20)*INDEX(TABELAS_OFICIAIS!$B$21:$B$23,MATCH(PREMISSAS!$B$5,TABELAS_OFICIAIS!$A$21:$A$23,0)),0)+IF($J23&gt;0,$J23*INDEX(TABELAS_OFICIAIS!$B$27:$B$29,MATCH(PREMISSAS!$B$5,TABELAS_OFICIAIS!$A$27:$A$29,0)),0)),"n/d — cotar com a cia"))</f>
        <v/>
      </c>
    </row>
    <row r="24">
      <c r="A24" s="16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8">
        <f>IF($A24="","",SUM($E24:$I24))</f>
        <v/>
      </c>
      <c r="L24" s="18">
        <f>IF($A24="","",IF(COUNT($E24:$I24)=0,0,MAX($E24:$I24)))</f>
        <v/>
      </c>
      <c r="M24" s="19">
        <f>IF($A24="","",IF($C24&gt;PREMISSAS!$B$22,"acima de "&amp;PREMISSAS!$B$22&amp;" kg — confira o contrato da cia","ok"))</f>
        <v/>
      </c>
      <c r="N24" s="20">
        <f>IF($A24="","",IF($L24&gt;PREMISSAS!$B$19,"EXCESSO","ok"))</f>
        <v/>
      </c>
      <c r="O24" s="20">
        <f>IF($A24="","",IF($L24&gt;PREMISSAS!$B$20,"RECUSADO — vira carga",""))</f>
        <v/>
      </c>
      <c r="P24" s="21">
        <f>IF($A24="","",IFERROR(PREMISSAS!$B$7*(IF($D24&gt;=1,INDEX(TABELAS_OFICIAIS!$D$6:$F$14,MATCH(PREMISSAS!$B$11,TABELAS_OFICIAIS!$A$6:$A$14,0),1),0)+IF($D24&gt;=2,INDEX(TABELAS_OFICIAIS!$D$6:$F$14,MATCH(PREMISSAS!$B$11,TABELAS_OFICIAIS!$A$6:$A$14,0),2),0)+IF($D24&gt;=3,MAX(0,MIN($D24,5)-2)*INDEX(TABELAS_OFICIAIS!$D$6:$F$14,MATCH(PREMISSAS!$B$11,TABELAS_OFICIAIS!$A$6:$A$14,0),3),0)+IF(COUNTIFS($E24:$I24,"&gt;"&amp;PREMISSAS!$B$21,$E24:$I24,"&lt;="&amp;PREMISSAS!$B$20)&gt;0,COUNTIFS($E24:$I24,"&gt;"&amp;PREMISSAS!$B$21,$E24:$I24,"&lt;="&amp;PREMISSAS!$B$20)*INDEX(TABELAS_OFICIAIS!$B$21:$B$23,MATCH(PREMISSAS!$B$5,TABELAS_OFICIAIS!$A$21:$A$23,0)),0)+IF($J24&gt;0,$J24*INDEX(TABELAS_OFICIAIS!$B$27:$B$29,MATCH(PREMISSAS!$B$5,TABELAS_OFICIAIS!$A$27:$A$29,0)),0)),"n/d — cotar com a cia"))</f>
        <v/>
      </c>
    </row>
    <row r="25">
      <c r="A25" s="16" t="n"/>
      <c r="B25" s="16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8">
        <f>IF($A25="","",SUM($E25:$I25))</f>
        <v/>
      </c>
      <c r="L25" s="18">
        <f>IF($A25="","",IF(COUNT($E25:$I25)=0,0,MAX($E25:$I25)))</f>
        <v/>
      </c>
      <c r="M25" s="19">
        <f>IF($A25="","",IF($C25&gt;PREMISSAS!$B$22,"acima de "&amp;PREMISSAS!$B$22&amp;" kg — confira o contrato da cia","ok"))</f>
        <v/>
      </c>
      <c r="N25" s="20">
        <f>IF($A25="","",IF($L25&gt;PREMISSAS!$B$19,"EXCESSO","ok"))</f>
        <v/>
      </c>
      <c r="O25" s="20">
        <f>IF($A25="","",IF($L25&gt;PREMISSAS!$B$20,"RECUSADO — vira carga",""))</f>
        <v/>
      </c>
      <c r="P25" s="21">
        <f>IF($A25="","",IFERROR(PREMISSAS!$B$7*(IF($D25&gt;=1,INDEX(TABELAS_OFICIAIS!$D$6:$F$14,MATCH(PREMISSAS!$B$11,TABELAS_OFICIAIS!$A$6:$A$14,0),1),0)+IF($D25&gt;=2,INDEX(TABELAS_OFICIAIS!$D$6:$F$14,MATCH(PREMISSAS!$B$11,TABELAS_OFICIAIS!$A$6:$A$14,0),2),0)+IF($D25&gt;=3,MAX(0,MIN($D25,5)-2)*INDEX(TABELAS_OFICIAIS!$D$6:$F$14,MATCH(PREMISSAS!$B$11,TABELAS_OFICIAIS!$A$6:$A$14,0),3),0)+IF(COUNTIFS($E25:$I25,"&gt;"&amp;PREMISSAS!$B$21,$E25:$I25,"&lt;="&amp;PREMISSAS!$B$20)&gt;0,COUNTIFS($E25:$I25,"&gt;"&amp;PREMISSAS!$B$21,$E25:$I25,"&lt;="&amp;PREMISSAS!$B$20)*INDEX(TABELAS_OFICIAIS!$B$21:$B$23,MATCH(PREMISSAS!$B$5,TABELAS_OFICIAIS!$A$21:$A$23,0)),0)+IF($J25&gt;0,$J25*INDEX(TABELAS_OFICIAIS!$B$27:$B$29,MATCH(PREMISSAS!$B$5,TABELAS_OFICIAIS!$A$27:$A$29,0)),0)),"n/d — cotar com a cia"))</f>
        <v/>
      </c>
    </row>
    <row r="26">
      <c r="A26" s="16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>
        <f>IF($A26="","",SUM($E26:$I26))</f>
        <v/>
      </c>
      <c r="L26" s="18">
        <f>IF($A26="","",IF(COUNT($E26:$I26)=0,0,MAX($E26:$I26)))</f>
        <v/>
      </c>
      <c r="M26" s="19">
        <f>IF($A26="","",IF($C26&gt;PREMISSAS!$B$22,"acima de "&amp;PREMISSAS!$B$22&amp;" kg — confira o contrato da cia","ok"))</f>
        <v/>
      </c>
      <c r="N26" s="20">
        <f>IF($A26="","",IF($L26&gt;PREMISSAS!$B$19,"EXCESSO","ok"))</f>
        <v/>
      </c>
      <c r="O26" s="20">
        <f>IF($A26="","",IF($L26&gt;PREMISSAS!$B$20,"RECUSADO — vira carga",""))</f>
        <v/>
      </c>
      <c r="P26" s="21">
        <f>IF($A26="","",IFERROR(PREMISSAS!$B$7*(IF($D26&gt;=1,INDEX(TABELAS_OFICIAIS!$D$6:$F$14,MATCH(PREMISSAS!$B$11,TABELAS_OFICIAIS!$A$6:$A$14,0),1),0)+IF($D26&gt;=2,INDEX(TABELAS_OFICIAIS!$D$6:$F$14,MATCH(PREMISSAS!$B$11,TABELAS_OFICIAIS!$A$6:$A$14,0),2),0)+IF($D26&gt;=3,MAX(0,MIN($D26,5)-2)*INDEX(TABELAS_OFICIAIS!$D$6:$F$14,MATCH(PREMISSAS!$B$11,TABELAS_OFICIAIS!$A$6:$A$14,0),3),0)+IF(COUNTIFS($E26:$I26,"&gt;"&amp;PREMISSAS!$B$21,$E26:$I26,"&lt;="&amp;PREMISSAS!$B$20)&gt;0,COUNTIFS($E26:$I26,"&gt;"&amp;PREMISSAS!$B$21,$E26:$I26,"&lt;="&amp;PREMISSAS!$B$20)*INDEX(TABELAS_OFICIAIS!$B$21:$B$23,MATCH(PREMISSAS!$B$5,TABELAS_OFICIAIS!$A$21:$A$23,0)),0)+IF($J26&gt;0,$J26*INDEX(TABELAS_OFICIAIS!$B$27:$B$29,MATCH(PREMISSAS!$B$5,TABELAS_OFICIAIS!$A$27:$A$29,0)),0)),"n/d — cotar com a cia"))</f>
        <v/>
      </c>
    </row>
    <row r="27">
      <c r="A27" s="16" t="n"/>
      <c r="B27" s="16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8">
        <f>IF($A27="","",SUM($E27:$I27))</f>
        <v/>
      </c>
      <c r="L27" s="18">
        <f>IF($A27="","",IF(COUNT($E27:$I27)=0,0,MAX($E27:$I27)))</f>
        <v/>
      </c>
      <c r="M27" s="19">
        <f>IF($A27="","",IF($C27&gt;PREMISSAS!$B$22,"acima de "&amp;PREMISSAS!$B$22&amp;" kg — confira o contrato da cia","ok"))</f>
        <v/>
      </c>
      <c r="N27" s="20">
        <f>IF($A27="","",IF($L27&gt;PREMISSAS!$B$19,"EXCESSO","ok"))</f>
        <v/>
      </c>
      <c r="O27" s="20">
        <f>IF($A27="","",IF($L27&gt;PREMISSAS!$B$20,"RECUSADO — vira carga",""))</f>
        <v/>
      </c>
      <c r="P27" s="21">
        <f>IF($A27="","",IFERROR(PREMISSAS!$B$7*(IF($D27&gt;=1,INDEX(TABELAS_OFICIAIS!$D$6:$F$14,MATCH(PREMISSAS!$B$11,TABELAS_OFICIAIS!$A$6:$A$14,0),1),0)+IF($D27&gt;=2,INDEX(TABELAS_OFICIAIS!$D$6:$F$14,MATCH(PREMISSAS!$B$11,TABELAS_OFICIAIS!$A$6:$A$14,0),2),0)+IF($D27&gt;=3,MAX(0,MIN($D27,5)-2)*INDEX(TABELAS_OFICIAIS!$D$6:$F$14,MATCH(PREMISSAS!$B$11,TABELAS_OFICIAIS!$A$6:$A$14,0),3),0)+IF(COUNTIFS($E27:$I27,"&gt;"&amp;PREMISSAS!$B$21,$E27:$I27,"&lt;="&amp;PREMISSAS!$B$20)&gt;0,COUNTIFS($E27:$I27,"&gt;"&amp;PREMISSAS!$B$21,$E27:$I27,"&lt;="&amp;PREMISSAS!$B$20)*INDEX(TABELAS_OFICIAIS!$B$21:$B$23,MATCH(PREMISSAS!$B$5,TABELAS_OFICIAIS!$A$21:$A$23,0)),0)+IF($J27&gt;0,$J27*INDEX(TABELAS_OFICIAIS!$B$27:$B$29,MATCH(PREMISSAS!$B$5,TABELAS_OFICIAIS!$A$27:$A$29,0)),0)),"n/d — cotar com a cia"))</f>
        <v/>
      </c>
    </row>
    <row r="28">
      <c r="A28" s="16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8">
        <f>IF($A28="","",SUM($E28:$I28))</f>
        <v/>
      </c>
      <c r="L28" s="18">
        <f>IF($A28="","",IF(COUNT($E28:$I28)=0,0,MAX($E28:$I28)))</f>
        <v/>
      </c>
      <c r="M28" s="19">
        <f>IF($A28="","",IF($C28&gt;PREMISSAS!$B$22,"acima de "&amp;PREMISSAS!$B$22&amp;" kg — confira o contrato da cia","ok"))</f>
        <v/>
      </c>
      <c r="N28" s="20">
        <f>IF($A28="","",IF($L28&gt;PREMISSAS!$B$19,"EXCESSO","ok"))</f>
        <v/>
      </c>
      <c r="O28" s="20">
        <f>IF($A28="","",IF($L28&gt;PREMISSAS!$B$20,"RECUSADO — vira carga",""))</f>
        <v/>
      </c>
      <c r="P28" s="21">
        <f>IF($A28="","",IFERROR(PREMISSAS!$B$7*(IF($D28&gt;=1,INDEX(TABELAS_OFICIAIS!$D$6:$F$14,MATCH(PREMISSAS!$B$11,TABELAS_OFICIAIS!$A$6:$A$14,0),1),0)+IF($D28&gt;=2,INDEX(TABELAS_OFICIAIS!$D$6:$F$14,MATCH(PREMISSAS!$B$11,TABELAS_OFICIAIS!$A$6:$A$14,0),2),0)+IF($D28&gt;=3,MAX(0,MIN($D28,5)-2)*INDEX(TABELAS_OFICIAIS!$D$6:$F$14,MATCH(PREMISSAS!$B$11,TABELAS_OFICIAIS!$A$6:$A$14,0),3),0)+IF(COUNTIFS($E28:$I28,"&gt;"&amp;PREMISSAS!$B$21,$E28:$I28,"&lt;="&amp;PREMISSAS!$B$20)&gt;0,COUNTIFS($E28:$I28,"&gt;"&amp;PREMISSAS!$B$21,$E28:$I28,"&lt;="&amp;PREMISSAS!$B$20)*INDEX(TABELAS_OFICIAIS!$B$21:$B$23,MATCH(PREMISSAS!$B$5,TABELAS_OFICIAIS!$A$21:$A$23,0)),0)+IF($J28&gt;0,$J28*INDEX(TABELAS_OFICIAIS!$B$27:$B$29,MATCH(PREMISSAS!$B$5,TABELAS_OFICIAIS!$A$27:$A$29,0)),0)),"n/d — cotar com a cia"))</f>
        <v/>
      </c>
    </row>
    <row r="29">
      <c r="A29" s="16" t="n"/>
      <c r="B29" s="16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8">
        <f>IF($A29="","",SUM($E29:$I29))</f>
        <v/>
      </c>
      <c r="L29" s="18">
        <f>IF($A29="","",IF(COUNT($E29:$I29)=0,0,MAX($E29:$I29)))</f>
        <v/>
      </c>
      <c r="M29" s="19">
        <f>IF($A29="","",IF($C29&gt;PREMISSAS!$B$22,"acima de "&amp;PREMISSAS!$B$22&amp;" kg — confira o contrato da cia","ok"))</f>
        <v/>
      </c>
      <c r="N29" s="20">
        <f>IF($A29="","",IF($L29&gt;PREMISSAS!$B$19,"EXCESSO","ok"))</f>
        <v/>
      </c>
      <c r="O29" s="20">
        <f>IF($A29="","",IF($L29&gt;PREMISSAS!$B$20,"RECUSADO — vira carga",""))</f>
        <v/>
      </c>
      <c r="P29" s="21">
        <f>IF($A29="","",IFERROR(PREMISSAS!$B$7*(IF($D29&gt;=1,INDEX(TABELAS_OFICIAIS!$D$6:$F$14,MATCH(PREMISSAS!$B$11,TABELAS_OFICIAIS!$A$6:$A$14,0),1),0)+IF($D29&gt;=2,INDEX(TABELAS_OFICIAIS!$D$6:$F$14,MATCH(PREMISSAS!$B$11,TABELAS_OFICIAIS!$A$6:$A$14,0),2),0)+IF($D29&gt;=3,MAX(0,MIN($D29,5)-2)*INDEX(TABELAS_OFICIAIS!$D$6:$F$14,MATCH(PREMISSAS!$B$11,TABELAS_OFICIAIS!$A$6:$A$14,0),3),0)+IF(COUNTIFS($E29:$I29,"&gt;"&amp;PREMISSAS!$B$21,$E29:$I29,"&lt;="&amp;PREMISSAS!$B$20)&gt;0,COUNTIFS($E29:$I29,"&gt;"&amp;PREMISSAS!$B$21,$E29:$I29,"&lt;="&amp;PREMISSAS!$B$20)*INDEX(TABELAS_OFICIAIS!$B$21:$B$23,MATCH(PREMISSAS!$B$5,TABELAS_OFICIAIS!$A$21:$A$23,0)),0)+IF($J29&gt;0,$J29*INDEX(TABELAS_OFICIAIS!$B$27:$B$29,MATCH(PREMISSAS!$B$5,TABELAS_OFICIAIS!$A$27:$A$29,0)),0)),"n/d — cotar com a cia"))</f>
        <v/>
      </c>
    </row>
    <row r="30">
      <c r="A30" s="16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8">
        <f>IF($A30="","",SUM($E30:$I30))</f>
        <v/>
      </c>
      <c r="L30" s="18">
        <f>IF($A30="","",IF(COUNT($E30:$I30)=0,0,MAX($E30:$I30)))</f>
        <v/>
      </c>
      <c r="M30" s="19">
        <f>IF($A30="","",IF($C30&gt;PREMISSAS!$B$22,"acima de "&amp;PREMISSAS!$B$22&amp;" kg — confira o contrato da cia","ok"))</f>
        <v/>
      </c>
      <c r="N30" s="20">
        <f>IF($A30="","",IF($L30&gt;PREMISSAS!$B$19,"EXCESSO","ok"))</f>
        <v/>
      </c>
      <c r="O30" s="20">
        <f>IF($A30="","",IF($L30&gt;PREMISSAS!$B$20,"RECUSADO — vira carga",""))</f>
        <v/>
      </c>
      <c r="P30" s="21">
        <f>IF($A30="","",IFERROR(PREMISSAS!$B$7*(IF($D30&gt;=1,INDEX(TABELAS_OFICIAIS!$D$6:$F$14,MATCH(PREMISSAS!$B$11,TABELAS_OFICIAIS!$A$6:$A$14,0),1),0)+IF($D30&gt;=2,INDEX(TABELAS_OFICIAIS!$D$6:$F$14,MATCH(PREMISSAS!$B$11,TABELAS_OFICIAIS!$A$6:$A$14,0),2),0)+IF($D30&gt;=3,MAX(0,MIN($D30,5)-2)*INDEX(TABELAS_OFICIAIS!$D$6:$F$14,MATCH(PREMISSAS!$B$11,TABELAS_OFICIAIS!$A$6:$A$14,0),3),0)+IF(COUNTIFS($E30:$I30,"&gt;"&amp;PREMISSAS!$B$21,$E30:$I30,"&lt;="&amp;PREMISSAS!$B$20)&gt;0,COUNTIFS($E30:$I30,"&gt;"&amp;PREMISSAS!$B$21,$E30:$I30,"&lt;="&amp;PREMISSAS!$B$20)*INDEX(TABELAS_OFICIAIS!$B$21:$B$23,MATCH(PREMISSAS!$B$5,TABELAS_OFICIAIS!$A$21:$A$23,0)),0)+IF($J30&gt;0,$J30*INDEX(TABELAS_OFICIAIS!$B$27:$B$29,MATCH(PREMISSAS!$B$5,TABELAS_OFICIAIS!$A$27:$A$29,0)),0)),"n/d — cotar com a cia"))</f>
        <v/>
      </c>
    </row>
    <row r="31">
      <c r="A31" s="16" t="n"/>
      <c r="B31" s="16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8">
        <f>IF($A31="","",SUM($E31:$I31))</f>
        <v/>
      </c>
      <c r="L31" s="18">
        <f>IF($A31="","",IF(COUNT($E31:$I31)=0,0,MAX($E31:$I31)))</f>
        <v/>
      </c>
      <c r="M31" s="19">
        <f>IF($A31="","",IF($C31&gt;PREMISSAS!$B$22,"acima de "&amp;PREMISSAS!$B$22&amp;" kg — confira o contrato da cia","ok"))</f>
        <v/>
      </c>
      <c r="N31" s="20">
        <f>IF($A31="","",IF($L31&gt;PREMISSAS!$B$19,"EXCESSO","ok"))</f>
        <v/>
      </c>
      <c r="O31" s="20">
        <f>IF($A31="","",IF($L31&gt;PREMISSAS!$B$20,"RECUSADO — vira carga",""))</f>
        <v/>
      </c>
      <c r="P31" s="21">
        <f>IF($A31="","",IFERROR(PREMISSAS!$B$7*(IF($D31&gt;=1,INDEX(TABELAS_OFICIAIS!$D$6:$F$14,MATCH(PREMISSAS!$B$11,TABELAS_OFICIAIS!$A$6:$A$14,0),1),0)+IF($D31&gt;=2,INDEX(TABELAS_OFICIAIS!$D$6:$F$14,MATCH(PREMISSAS!$B$11,TABELAS_OFICIAIS!$A$6:$A$14,0),2),0)+IF($D31&gt;=3,MAX(0,MIN($D31,5)-2)*INDEX(TABELAS_OFICIAIS!$D$6:$F$14,MATCH(PREMISSAS!$B$11,TABELAS_OFICIAIS!$A$6:$A$14,0),3),0)+IF(COUNTIFS($E31:$I31,"&gt;"&amp;PREMISSAS!$B$21,$E31:$I31,"&lt;="&amp;PREMISSAS!$B$20)&gt;0,COUNTIFS($E31:$I31,"&gt;"&amp;PREMISSAS!$B$21,$E31:$I31,"&lt;="&amp;PREMISSAS!$B$20)*INDEX(TABELAS_OFICIAIS!$B$21:$B$23,MATCH(PREMISSAS!$B$5,TABELAS_OFICIAIS!$A$21:$A$23,0)),0)+IF($J31&gt;0,$J31*INDEX(TABELAS_OFICIAIS!$B$27:$B$29,MATCH(PREMISSAS!$B$5,TABELAS_OFICIAIS!$A$27:$A$29,0)),0)),"n/d — cotar com a cia"))</f>
        <v/>
      </c>
    </row>
    <row r="32">
      <c r="A32" s="16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8">
        <f>IF($A32="","",SUM($E32:$I32))</f>
        <v/>
      </c>
      <c r="L32" s="18">
        <f>IF($A32="","",IF(COUNT($E32:$I32)=0,0,MAX($E32:$I32)))</f>
        <v/>
      </c>
      <c r="M32" s="19">
        <f>IF($A32="","",IF($C32&gt;PREMISSAS!$B$22,"acima de "&amp;PREMISSAS!$B$22&amp;" kg — confira o contrato da cia","ok"))</f>
        <v/>
      </c>
      <c r="N32" s="20">
        <f>IF($A32="","",IF($L32&gt;PREMISSAS!$B$19,"EXCESSO","ok"))</f>
        <v/>
      </c>
      <c r="O32" s="20">
        <f>IF($A32="","",IF($L32&gt;PREMISSAS!$B$20,"RECUSADO — vira carga",""))</f>
        <v/>
      </c>
      <c r="P32" s="21">
        <f>IF($A32="","",IFERROR(PREMISSAS!$B$7*(IF($D32&gt;=1,INDEX(TABELAS_OFICIAIS!$D$6:$F$14,MATCH(PREMISSAS!$B$11,TABELAS_OFICIAIS!$A$6:$A$14,0),1),0)+IF($D32&gt;=2,INDEX(TABELAS_OFICIAIS!$D$6:$F$14,MATCH(PREMISSAS!$B$11,TABELAS_OFICIAIS!$A$6:$A$14,0),2),0)+IF($D32&gt;=3,MAX(0,MIN($D32,5)-2)*INDEX(TABELAS_OFICIAIS!$D$6:$F$14,MATCH(PREMISSAS!$B$11,TABELAS_OFICIAIS!$A$6:$A$14,0),3),0)+IF(COUNTIFS($E32:$I32,"&gt;"&amp;PREMISSAS!$B$21,$E32:$I32,"&lt;="&amp;PREMISSAS!$B$20)&gt;0,COUNTIFS($E32:$I32,"&gt;"&amp;PREMISSAS!$B$21,$E32:$I32,"&lt;="&amp;PREMISSAS!$B$20)*INDEX(TABELAS_OFICIAIS!$B$21:$B$23,MATCH(PREMISSAS!$B$5,TABELAS_OFICIAIS!$A$21:$A$23,0)),0)+IF($J32&gt;0,$J32*INDEX(TABELAS_OFICIAIS!$B$27:$B$29,MATCH(PREMISSAS!$B$5,TABELAS_OFICIAIS!$A$27:$A$29,0)),0)),"n/d — cotar com a cia"))</f>
        <v/>
      </c>
    </row>
    <row r="33">
      <c r="A33" s="16" t="n"/>
      <c r="B33" s="16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8">
        <f>IF($A33="","",SUM($E33:$I33))</f>
        <v/>
      </c>
      <c r="L33" s="18">
        <f>IF($A33="","",IF(COUNT($E33:$I33)=0,0,MAX($E33:$I33)))</f>
        <v/>
      </c>
      <c r="M33" s="19">
        <f>IF($A33="","",IF($C33&gt;PREMISSAS!$B$22,"acima de "&amp;PREMISSAS!$B$22&amp;" kg — confira o contrato da cia","ok"))</f>
        <v/>
      </c>
      <c r="N33" s="20">
        <f>IF($A33="","",IF($L33&gt;PREMISSAS!$B$19,"EXCESSO","ok"))</f>
        <v/>
      </c>
      <c r="O33" s="20">
        <f>IF($A33="","",IF($L33&gt;PREMISSAS!$B$20,"RECUSADO — vira carga",""))</f>
        <v/>
      </c>
      <c r="P33" s="21">
        <f>IF($A33="","",IFERROR(PREMISSAS!$B$7*(IF($D33&gt;=1,INDEX(TABELAS_OFICIAIS!$D$6:$F$14,MATCH(PREMISSAS!$B$11,TABELAS_OFICIAIS!$A$6:$A$14,0),1),0)+IF($D33&gt;=2,INDEX(TABELAS_OFICIAIS!$D$6:$F$14,MATCH(PREMISSAS!$B$11,TABELAS_OFICIAIS!$A$6:$A$14,0),2),0)+IF($D33&gt;=3,MAX(0,MIN($D33,5)-2)*INDEX(TABELAS_OFICIAIS!$D$6:$F$14,MATCH(PREMISSAS!$B$11,TABELAS_OFICIAIS!$A$6:$A$14,0),3),0)+IF(COUNTIFS($E33:$I33,"&gt;"&amp;PREMISSAS!$B$21,$E33:$I33,"&lt;="&amp;PREMISSAS!$B$20)&gt;0,COUNTIFS($E33:$I33,"&gt;"&amp;PREMISSAS!$B$21,$E33:$I33,"&lt;="&amp;PREMISSAS!$B$20)*INDEX(TABELAS_OFICIAIS!$B$21:$B$23,MATCH(PREMISSAS!$B$5,TABELAS_OFICIAIS!$A$21:$A$23,0)),0)+IF($J33&gt;0,$J33*INDEX(TABELAS_OFICIAIS!$B$27:$B$29,MATCH(PREMISSAS!$B$5,TABELAS_OFICIAIS!$A$27:$A$29,0)),0)),"n/d — cotar com a cia"))</f>
        <v/>
      </c>
    </row>
    <row r="34">
      <c r="A34" s="16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>
        <f>IF($A34="","",SUM($E34:$I34))</f>
        <v/>
      </c>
      <c r="L34" s="18">
        <f>IF($A34="","",IF(COUNT($E34:$I34)=0,0,MAX($E34:$I34)))</f>
        <v/>
      </c>
      <c r="M34" s="19">
        <f>IF($A34="","",IF($C34&gt;PREMISSAS!$B$22,"acima de "&amp;PREMISSAS!$B$22&amp;" kg — confira o contrato da cia","ok"))</f>
        <v/>
      </c>
      <c r="N34" s="20">
        <f>IF($A34="","",IF($L34&gt;PREMISSAS!$B$19,"EXCESSO","ok"))</f>
        <v/>
      </c>
      <c r="O34" s="20">
        <f>IF($A34="","",IF($L34&gt;PREMISSAS!$B$20,"RECUSADO — vira carga",""))</f>
        <v/>
      </c>
      <c r="P34" s="21">
        <f>IF($A34="","",IFERROR(PREMISSAS!$B$7*(IF($D34&gt;=1,INDEX(TABELAS_OFICIAIS!$D$6:$F$14,MATCH(PREMISSAS!$B$11,TABELAS_OFICIAIS!$A$6:$A$14,0),1),0)+IF($D34&gt;=2,INDEX(TABELAS_OFICIAIS!$D$6:$F$14,MATCH(PREMISSAS!$B$11,TABELAS_OFICIAIS!$A$6:$A$14,0),2),0)+IF($D34&gt;=3,MAX(0,MIN($D34,5)-2)*INDEX(TABELAS_OFICIAIS!$D$6:$F$14,MATCH(PREMISSAS!$B$11,TABELAS_OFICIAIS!$A$6:$A$14,0),3),0)+IF(COUNTIFS($E34:$I34,"&gt;"&amp;PREMISSAS!$B$21,$E34:$I34,"&lt;="&amp;PREMISSAS!$B$20)&gt;0,COUNTIFS($E34:$I34,"&gt;"&amp;PREMISSAS!$B$21,$E34:$I34,"&lt;="&amp;PREMISSAS!$B$20)*INDEX(TABELAS_OFICIAIS!$B$21:$B$23,MATCH(PREMISSAS!$B$5,TABELAS_OFICIAIS!$A$21:$A$23,0)),0)+IF($J34&gt;0,$J34*INDEX(TABELAS_OFICIAIS!$B$27:$B$29,MATCH(PREMISSAS!$B$5,TABELAS_OFICIAIS!$A$27:$A$29,0)),0)),"n/d — cotar com a cia"))</f>
        <v/>
      </c>
    </row>
    <row r="35">
      <c r="A35" s="16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8">
        <f>IF($A35="","",SUM($E35:$I35))</f>
        <v/>
      </c>
      <c r="L35" s="18">
        <f>IF($A35="","",IF(COUNT($E35:$I35)=0,0,MAX($E35:$I35)))</f>
        <v/>
      </c>
      <c r="M35" s="19">
        <f>IF($A35="","",IF($C35&gt;PREMISSAS!$B$22,"acima de "&amp;PREMISSAS!$B$22&amp;" kg — confira o contrato da cia","ok"))</f>
        <v/>
      </c>
      <c r="N35" s="20">
        <f>IF($A35="","",IF($L35&gt;PREMISSAS!$B$19,"EXCESSO","ok"))</f>
        <v/>
      </c>
      <c r="O35" s="20">
        <f>IF($A35="","",IF($L35&gt;PREMISSAS!$B$20,"RECUSADO — vira carga",""))</f>
        <v/>
      </c>
      <c r="P35" s="21">
        <f>IF($A35="","",IFERROR(PREMISSAS!$B$7*(IF($D35&gt;=1,INDEX(TABELAS_OFICIAIS!$D$6:$F$14,MATCH(PREMISSAS!$B$11,TABELAS_OFICIAIS!$A$6:$A$14,0),1),0)+IF($D35&gt;=2,INDEX(TABELAS_OFICIAIS!$D$6:$F$14,MATCH(PREMISSAS!$B$11,TABELAS_OFICIAIS!$A$6:$A$14,0),2),0)+IF($D35&gt;=3,MAX(0,MIN($D35,5)-2)*INDEX(TABELAS_OFICIAIS!$D$6:$F$14,MATCH(PREMISSAS!$B$11,TABELAS_OFICIAIS!$A$6:$A$14,0),3),0)+IF(COUNTIFS($E35:$I35,"&gt;"&amp;PREMISSAS!$B$21,$E35:$I35,"&lt;="&amp;PREMISSAS!$B$20)&gt;0,COUNTIFS($E35:$I35,"&gt;"&amp;PREMISSAS!$B$21,$E35:$I35,"&lt;="&amp;PREMISSAS!$B$20)*INDEX(TABELAS_OFICIAIS!$B$21:$B$23,MATCH(PREMISSAS!$B$5,TABELAS_OFICIAIS!$A$21:$A$23,0)),0)+IF($J35&gt;0,$J35*INDEX(TABELAS_OFICIAIS!$B$27:$B$29,MATCH(PREMISSAS!$B$5,TABELAS_OFICIAIS!$A$27:$A$29,0)),0)),"n/d — cotar com a cia"))</f>
        <v/>
      </c>
    </row>
    <row r="36">
      <c r="A36" s="16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>
        <f>IF($A36="","",SUM($E36:$I36))</f>
        <v/>
      </c>
      <c r="L36" s="18">
        <f>IF($A36="","",IF(COUNT($E36:$I36)=0,0,MAX($E36:$I36)))</f>
        <v/>
      </c>
      <c r="M36" s="19">
        <f>IF($A36="","",IF($C36&gt;PREMISSAS!$B$22,"acima de "&amp;PREMISSAS!$B$22&amp;" kg — confira o contrato da cia","ok"))</f>
        <v/>
      </c>
      <c r="N36" s="20">
        <f>IF($A36="","",IF($L36&gt;PREMISSAS!$B$19,"EXCESSO","ok"))</f>
        <v/>
      </c>
      <c r="O36" s="20">
        <f>IF($A36="","",IF($L36&gt;PREMISSAS!$B$20,"RECUSADO — vira carga",""))</f>
        <v/>
      </c>
      <c r="P36" s="21">
        <f>IF($A36="","",IFERROR(PREMISSAS!$B$7*(IF($D36&gt;=1,INDEX(TABELAS_OFICIAIS!$D$6:$F$14,MATCH(PREMISSAS!$B$11,TABELAS_OFICIAIS!$A$6:$A$14,0),1),0)+IF($D36&gt;=2,INDEX(TABELAS_OFICIAIS!$D$6:$F$14,MATCH(PREMISSAS!$B$11,TABELAS_OFICIAIS!$A$6:$A$14,0),2),0)+IF($D36&gt;=3,MAX(0,MIN($D36,5)-2)*INDEX(TABELAS_OFICIAIS!$D$6:$F$14,MATCH(PREMISSAS!$B$11,TABELAS_OFICIAIS!$A$6:$A$14,0),3),0)+IF(COUNTIFS($E36:$I36,"&gt;"&amp;PREMISSAS!$B$21,$E36:$I36,"&lt;="&amp;PREMISSAS!$B$20)&gt;0,COUNTIFS($E36:$I36,"&gt;"&amp;PREMISSAS!$B$21,$E36:$I36,"&lt;="&amp;PREMISSAS!$B$20)*INDEX(TABELAS_OFICIAIS!$B$21:$B$23,MATCH(PREMISSAS!$B$5,TABELAS_OFICIAIS!$A$21:$A$23,0)),0)+IF($J36&gt;0,$J36*INDEX(TABELAS_OFICIAIS!$B$27:$B$29,MATCH(PREMISSAS!$B$5,TABELAS_OFICIAIS!$A$27:$A$29,0)),0)),"n/d — cotar com a cia"))</f>
        <v/>
      </c>
    </row>
    <row r="37">
      <c r="A37" s="16" t="n"/>
      <c r="B37" s="16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8">
        <f>IF($A37="","",SUM($E37:$I37))</f>
        <v/>
      </c>
      <c r="L37" s="18">
        <f>IF($A37="","",IF(COUNT($E37:$I37)=0,0,MAX($E37:$I37)))</f>
        <v/>
      </c>
      <c r="M37" s="19">
        <f>IF($A37="","",IF($C37&gt;PREMISSAS!$B$22,"acima de "&amp;PREMISSAS!$B$22&amp;" kg — confira o contrato da cia","ok"))</f>
        <v/>
      </c>
      <c r="N37" s="20">
        <f>IF($A37="","",IF($L37&gt;PREMISSAS!$B$19,"EXCESSO","ok"))</f>
        <v/>
      </c>
      <c r="O37" s="20">
        <f>IF($A37="","",IF($L37&gt;PREMISSAS!$B$20,"RECUSADO — vira carga",""))</f>
        <v/>
      </c>
      <c r="P37" s="21">
        <f>IF($A37="","",IFERROR(PREMISSAS!$B$7*(IF($D37&gt;=1,INDEX(TABELAS_OFICIAIS!$D$6:$F$14,MATCH(PREMISSAS!$B$11,TABELAS_OFICIAIS!$A$6:$A$14,0),1),0)+IF($D37&gt;=2,INDEX(TABELAS_OFICIAIS!$D$6:$F$14,MATCH(PREMISSAS!$B$11,TABELAS_OFICIAIS!$A$6:$A$14,0),2),0)+IF($D37&gt;=3,MAX(0,MIN($D37,5)-2)*INDEX(TABELAS_OFICIAIS!$D$6:$F$14,MATCH(PREMISSAS!$B$11,TABELAS_OFICIAIS!$A$6:$A$14,0),3),0)+IF(COUNTIFS($E37:$I37,"&gt;"&amp;PREMISSAS!$B$21,$E37:$I37,"&lt;="&amp;PREMISSAS!$B$20)&gt;0,COUNTIFS($E37:$I37,"&gt;"&amp;PREMISSAS!$B$21,$E37:$I37,"&lt;="&amp;PREMISSAS!$B$20)*INDEX(TABELAS_OFICIAIS!$B$21:$B$23,MATCH(PREMISSAS!$B$5,TABELAS_OFICIAIS!$A$21:$A$23,0)),0)+IF($J37&gt;0,$J37*INDEX(TABELAS_OFICIAIS!$B$27:$B$29,MATCH(PREMISSAS!$B$5,TABELAS_OFICIAIS!$A$27:$A$29,0)),0)),"n/d — cotar com a cia"))</f>
        <v/>
      </c>
    </row>
    <row r="38">
      <c r="A38" s="16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8">
        <f>IF($A38="","",SUM($E38:$I38))</f>
        <v/>
      </c>
      <c r="L38" s="18">
        <f>IF($A38="","",IF(COUNT($E38:$I38)=0,0,MAX($E38:$I38)))</f>
        <v/>
      </c>
      <c r="M38" s="19">
        <f>IF($A38="","",IF($C38&gt;PREMISSAS!$B$22,"acima de "&amp;PREMISSAS!$B$22&amp;" kg — confira o contrato da cia","ok"))</f>
        <v/>
      </c>
      <c r="N38" s="20">
        <f>IF($A38="","",IF($L38&gt;PREMISSAS!$B$19,"EXCESSO","ok"))</f>
        <v/>
      </c>
      <c r="O38" s="20">
        <f>IF($A38="","",IF($L38&gt;PREMISSAS!$B$20,"RECUSADO — vira carga",""))</f>
        <v/>
      </c>
      <c r="P38" s="21">
        <f>IF($A38="","",IFERROR(PREMISSAS!$B$7*(IF($D38&gt;=1,INDEX(TABELAS_OFICIAIS!$D$6:$F$14,MATCH(PREMISSAS!$B$11,TABELAS_OFICIAIS!$A$6:$A$14,0),1),0)+IF($D38&gt;=2,INDEX(TABELAS_OFICIAIS!$D$6:$F$14,MATCH(PREMISSAS!$B$11,TABELAS_OFICIAIS!$A$6:$A$14,0),2),0)+IF($D38&gt;=3,MAX(0,MIN($D38,5)-2)*INDEX(TABELAS_OFICIAIS!$D$6:$F$14,MATCH(PREMISSAS!$B$11,TABELAS_OFICIAIS!$A$6:$A$14,0),3),0)+IF(COUNTIFS($E38:$I38,"&gt;"&amp;PREMISSAS!$B$21,$E38:$I38,"&lt;="&amp;PREMISSAS!$B$20)&gt;0,COUNTIFS($E38:$I38,"&gt;"&amp;PREMISSAS!$B$21,$E38:$I38,"&lt;="&amp;PREMISSAS!$B$20)*INDEX(TABELAS_OFICIAIS!$B$21:$B$23,MATCH(PREMISSAS!$B$5,TABELAS_OFICIAIS!$A$21:$A$23,0)),0)+IF($J38&gt;0,$J38*INDEX(TABELAS_OFICIAIS!$B$27:$B$29,MATCH(PREMISSAS!$B$5,TABELAS_OFICIAIS!$A$27:$A$29,0)),0)),"n/d — cotar com a cia"))</f>
        <v/>
      </c>
    </row>
    <row r="39">
      <c r="A39" s="16" t="n"/>
      <c r="B39" s="16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8">
        <f>IF($A39="","",SUM($E39:$I39))</f>
        <v/>
      </c>
      <c r="L39" s="18">
        <f>IF($A39="","",IF(COUNT($E39:$I39)=0,0,MAX($E39:$I39)))</f>
        <v/>
      </c>
      <c r="M39" s="19">
        <f>IF($A39="","",IF($C39&gt;PREMISSAS!$B$22,"acima de "&amp;PREMISSAS!$B$22&amp;" kg — confira o contrato da cia","ok"))</f>
        <v/>
      </c>
      <c r="N39" s="20">
        <f>IF($A39="","",IF($L39&gt;PREMISSAS!$B$19,"EXCESSO","ok"))</f>
        <v/>
      </c>
      <c r="O39" s="20">
        <f>IF($A39="","",IF($L39&gt;PREMISSAS!$B$20,"RECUSADO — vira carga",""))</f>
        <v/>
      </c>
      <c r="P39" s="21">
        <f>IF($A39="","",IFERROR(PREMISSAS!$B$7*(IF($D39&gt;=1,INDEX(TABELAS_OFICIAIS!$D$6:$F$14,MATCH(PREMISSAS!$B$11,TABELAS_OFICIAIS!$A$6:$A$14,0),1),0)+IF($D39&gt;=2,INDEX(TABELAS_OFICIAIS!$D$6:$F$14,MATCH(PREMISSAS!$B$11,TABELAS_OFICIAIS!$A$6:$A$14,0),2),0)+IF($D39&gt;=3,MAX(0,MIN($D39,5)-2)*INDEX(TABELAS_OFICIAIS!$D$6:$F$14,MATCH(PREMISSAS!$B$11,TABELAS_OFICIAIS!$A$6:$A$14,0),3),0)+IF(COUNTIFS($E39:$I39,"&gt;"&amp;PREMISSAS!$B$21,$E39:$I39,"&lt;="&amp;PREMISSAS!$B$20)&gt;0,COUNTIFS($E39:$I39,"&gt;"&amp;PREMISSAS!$B$21,$E39:$I39,"&lt;="&amp;PREMISSAS!$B$20)*INDEX(TABELAS_OFICIAIS!$B$21:$B$23,MATCH(PREMISSAS!$B$5,TABELAS_OFICIAIS!$A$21:$A$23,0)),0)+IF($J39&gt;0,$J39*INDEX(TABELAS_OFICIAIS!$B$27:$B$29,MATCH(PREMISSAS!$B$5,TABELAS_OFICIAIS!$A$27:$A$29,0)),0)),"n/d — cotar com a cia"))</f>
        <v/>
      </c>
    </row>
    <row r="40">
      <c r="A40" s="16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8">
        <f>IF($A40="","",SUM($E40:$I40))</f>
        <v/>
      </c>
      <c r="L40" s="18">
        <f>IF($A40="","",IF(COUNT($E40:$I40)=0,0,MAX($E40:$I40)))</f>
        <v/>
      </c>
      <c r="M40" s="19">
        <f>IF($A40="","",IF($C40&gt;PREMISSAS!$B$22,"acima de "&amp;PREMISSAS!$B$22&amp;" kg — confira o contrato da cia","ok"))</f>
        <v/>
      </c>
      <c r="N40" s="20">
        <f>IF($A40="","",IF($L40&gt;PREMISSAS!$B$19,"EXCESSO","ok"))</f>
        <v/>
      </c>
      <c r="O40" s="20">
        <f>IF($A40="","",IF($L40&gt;PREMISSAS!$B$20,"RECUSADO — vira carga",""))</f>
        <v/>
      </c>
      <c r="P40" s="21">
        <f>IF($A40="","",IFERROR(PREMISSAS!$B$7*(IF($D40&gt;=1,INDEX(TABELAS_OFICIAIS!$D$6:$F$14,MATCH(PREMISSAS!$B$11,TABELAS_OFICIAIS!$A$6:$A$14,0),1),0)+IF($D40&gt;=2,INDEX(TABELAS_OFICIAIS!$D$6:$F$14,MATCH(PREMISSAS!$B$11,TABELAS_OFICIAIS!$A$6:$A$14,0),2),0)+IF($D40&gt;=3,MAX(0,MIN($D40,5)-2)*INDEX(TABELAS_OFICIAIS!$D$6:$F$14,MATCH(PREMISSAS!$B$11,TABELAS_OFICIAIS!$A$6:$A$14,0),3),0)+IF(COUNTIFS($E40:$I40,"&gt;"&amp;PREMISSAS!$B$21,$E40:$I40,"&lt;="&amp;PREMISSAS!$B$20)&gt;0,COUNTIFS($E40:$I40,"&gt;"&amp;PREMISSAS!$B$21,$E40:$I40,"&lt;="&amp;PREMISSAS!$B$20)*INDEX(TABELAS_OFICIAIS!$B$21:$B$23,MATCH(PREMISSAS!$B$5,TABELAS_OFICIAIS!$A$21:$A$23,0)),0)+IF($J40&gt;0,$J40*INDEX(TABELAS_OFICIAIS!$B$27:$B$29,MATCH(PREMISSAS!$B$5,TABELAS_OFICIAIS!$A$27:$A$29,0)),0)),"n/d — cotar com a cia"))</f>
        <v/>
      </c>
    </row>
    <row r="41">
      <c r="A41" s="16" t="n"/>
      <c r="B41" s="16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8">
        <f>IF($A41="","",SUM($E41:$I41))</f>
        <v/>
      </c>
      <c r="L41" s="18">
        <f>IF($A41="","",IF(COUNT($E41:$I41)=0,0,MAX($E41:$I41)))</f>
        <v/>
      </c>
      <c r="M41" s="19">
        <f>IF($A41="","",IF($C41&gt;PREMISSAS!$B$22,"acima de "&amp;PREMISSAS!$B$22&amp;" kg — confira o contrato da cia","ok"))</f>
        <v/>
      </c>
      <c r="N41" s="20">
        <f>IF($A41="","",IF($L41&gt;PREMISSAS!$B$19,"EXCESSO","ok"))</f>
        <v/>
      </c>
      <c r="O41" s="20">
        <f>IF($A41="","",IF($L41&gt;PREMISSAS!$B$20,"RECUSADO — vira carga",""))</f>
        <v/>
      </c>
      <c r="P41" s="21">
        <f>IF($A41="","",IFERROR(PREMISSAS!$B$7*(IF($D41&gt;=1,INDEX(TABELAS_OFICIAIS!$D$6:$F$14,MATCH(PREMISSAS!$B$11,TABELAS_OFICIAIS!$A$6:$A$14,0),1),0)+IF($D41&gt;=2,INDEX(TABELAS_OFICIAIS!$D$6:$F$14,MATCH(PREMISSAS!$B$11,TABELAS_OFICIAIS!$A$6:$A$14,0),2),0)+IF($D41&gt;=3,MAX(0,MIN($D41,5)-2)*INDEX(TABELAS_OFICIAIS!$D$6:$F$14,MATCH(PREMISSAS!$B$11,TABELAS_OFICIAIS!$A$6:$A$14,0),3),0)+IF(COUNTIFS($E41:$I41,"&gt;"&amp;PREMISSAS!$B$21,$E41:$I41,"&lt;="&amp;PREMISSAS!$B$20)&gt;0,COUNTIFS($E41:$I41,"&gt;"&amp;PREMISSAS!$B$21,$E41:$I41,"&lt;="&amp;PREMISSAS!$B$20)*INDEX(TABELAS_OFICIAIS!$B$21:$B$23,MATCH(PREMISSAS!$B$5,TABELAS_OFICIAIS!$A$21:$A$23,0)),0)+IF($J41&gt;0,$J41*INDEX(TABELAS_OFICIAIS!$B$27:$B$29,MATCH(PREMISSAS!$B$5,TABELAS_OFICIAIS!$A$27:$A$29,0)),0)),"n/d — cotar com a cia"))</f>
        <v/>
      </c>
    </row>
    <row r="42">
      <c r="A42" s="16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8">
        <f>IF($A42="","",SUM($E42:$I42))</f>
        <v/>
      </c>
      <c r="L42" s="18">
        <f>IF($A42="","",IF(COUNT($E42:$I42)=0,0,MAX($E42:$I42)))</f>
        <v/>
      </c>
      <c r="M42" s="19">
        <f>IF($A42="","",IF($C42&gt;PREMISSAS!$B$22,"acima de "&amp;PREMISSAS!$B$22&amp;" kg — confira o contrato da cia","ok"))</f>
        <v/>
      </c>
      <c r="N42" s="20">
        <f>IF($A42="","",IF($L42&gt;PREMISSAS!$B$19,"EXCESSO","ok"))</f>
        <v/>
      </c>
      <c r="O42" s="20">
        <f>IF($A42="","",IF($L42&gt;PREMISSAS!$B$20,"RECUSADO — vira carga",""))</f>
        <v/>
      </c>
      <c r="P42" s="21">
        <f>IF($A42="","",IFERROR(PREMISSAS!$B$7*(IF($D42&gt;=1,INDEX(TABELAS_OFICIAIS!$D$6:$F$14,MATCH(PREMISSAS!$B$11,TABELAS_OFICIAIS!$A$6:$A$14,0),1),0)+IF($D42&gt;=2,INDEX(TABELAS_OFICIAIS!$D$6:$F$14,MATCH(PREMISSAS!$B$11,TABELAS_OFICIAIS!$A$6:$A$14,0),2),0)+IF($D42&gt;=3,MAX(0,MIN($D42,5)-2)*INDEX(TABELAS_OFICIAIS!$D$6:$F$14,MATCH(PREMISSAS!$B$11,TABELAS_OFICIAIS!$A$6:$A$14,0),3),0)+IF(COUNTIFS($E42:$I42,"&gt;"&amp;PREMISSAS!$B$21,$E42:$I42,"&lt;="&amp;PREMISSAS!$B$20)&gt;0,COUNTIFS($E42:$I42,"&gt;"&amp;PREMISSAS!$B$21,$E42:$I42,"&lt;="&amp;PREMISSAS!$B$20)*INDEX(TABELAS_OFICIAIS!$B$21:$B$23,MATCH(PREMISSAS!$B$5,TABELAS_OFICIAIS!$A$21:$A$23,0)),0)+IF($J42&gt;0,$J42*INDEX(TABELAS_OFICIAIS!$B$27:$B$29,MATCH(PREMISSAS!$B$5,TABELAS_OFICIAIS!$A$27:$A$29,0)),0)),"n/d — cotar com a cia"))</f>
        <v/>
      </c>
    </row>
    <row r="43">
      <c r="A43" s="16" t="n"/>
      <c r="B43" s="16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8">
        <f>IF($A43="","",SUM($E43:$I43))</f>
        <v/>
      </c>
      <c r="L43" s="18">
        <f>IF($A43="","",IF(COUNT($E43:$I43)=0,0,MAX($E43:$I43)))</f>
        <v/>
      </c>
      <c r="M43" s="19">
        <f>IF($A43="","",IF($C43&gt;PREMISSAS!$B$22,"acima de "&amp;PREMISSAS!$B$22&amp;" kg — confira o contrato da cia","ok"))</f>
        <v/>
      </c>
      <c r="N43" s="20">
        <f>IF($A43="","",IF($L43&gt;PREMISSAS!$B$19,"EXCESSO","ok"))</f>
        <v/>
      </c>
      <c r="O43" s="20">
        <f>IF($A43="","",IF($L43&gt;PREMISSAS!$B$20,"RECUSADO — vira carga",""))</f>
        <v/>
      </c>
      <c r="P43" s="21">
        <f>IF($A43="","",IFERROR(PREMISSAS!$B$7*(IF($D43&gt;=1,INDEX(TABELAS_OFICIAIS!$D$6:$F$14,MATCH(PREMISSAS!$B$11,TABELAS_OFICIAIS!$A$6:$A$14,0),1),0)+IF($D43&gt;=2,INDEX(TABELAS_OFICIAIS!$D$6:$F$14,MATCH(PREMISSAS!$B$11,TABELAS_OFICIAIS!$A$6:$A$14,0),2),0)+IF($D43&gt;=3,MAX(0,MIN($D43,5)-2)*INDEX(TABELAS_OFICIAIS!$D$6:$F$14,MATCH(PREMISSAS!$B$11,TABELAS_OFICIAIS!$A$6:$A$14,0),3),0)+IF(COUNTIFS($E43:$I43,"&gt;"&amp;PREMISSAS!$B$21,$E43:$I43,"&lt;="&amp;PREMISSAS!$B$20)&gt;0,COUNTIFS($E43:$I43,"&gt;"&amp;PREMISSAS!$B$21,$E43:$I43,"&lt;="&amp;PREMISSAS!$B$20)*INDEX(TABELAS_OFICIAIS!$B$21:$B$23,MATCH(PREMISSAS!$B$5,TABELAS_OFICIAIS!$A$21:$A$23,0)),0)+IF($J43&gt;0,$J43*INDEX(TABELAS_OFICIAIS!$B$27:$B$29,MATCH(PREMISSAS!$B$5,TABELAS_OFICIAIS!$A$27:$A$29,0)),0)),"n/d — cotar com a cia"))</f>
        <v/>
      </c>
    </row>
    <row r="44">
      <c r="A44" s="16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8">
        <f>IF($A44="","",SUM($E44:$I44))</f>
        <v/>
      </c>
      <c r="L44" s="18">
        <f>IF($A44="","",IF(COUNT($E44:$I44)=0,0,MAX($E44:$I44)))</f>
        <v/>
      </c>
      <c r="M44" s="19">
        <f>IF($A44="","",IF($C44&gt;PREMISSAS!$B$22,"acima de "&amp;PREMISSAS!$B$22&amp;" kg — confira o contrato da cia","ok"))</f>
        <v/>
      </c>
      <c r="N44" s="20">
        <f>IF($A44="","",IF($L44&gt;PREMISSAS!$B$19,"EXCESSO","ok"))</f>
        <v/>
      </c>
      <c r="O44" s="20">
        <f>IF($A44="","",IF($L44&gt;PREMISSAS!$B$20,"RECUSADO — vira carga",""))</f>
        <v/>
      </c>
      <c r="P44" s="21">
        <f>IF($A44="","",IFERROR(PREMISSAS!$B$7*(IF($D44&gt;=1,INDEX(TABELAS_OFICIAIS!$D$6:$F$14,MATCH(PREMISSAS!$B$11,TABELAS_OFICIAIS!$A$6:$A$14,0),1),0)+IF($D44&gt;=2,INDEX(TABELAS_OFICIAIS!$D$6:$F$14,MATCH(PREMISSAS!$B$11,TABELAS_OFICIAIS!$A$6:$A$14,0),2),0)+IF($D44&gt;=3,MAX(0,MIN($D44,5)-2)*INDEX(TABELAS_OFICIAIS!$D$6:$F$14,MATCH(PREMISSAS!$B$11,TABELAS_OFICIAIS!$A$6:$A$14,0),3),0)+IF(COUNTIFS($E44:$I44,"&gt;"&amp;PREMISSAS!$B$21,$E44:$I44,"&lt;="&amp;PREMISSAS!$B$20)&gt;0,COUNTIFS($E44:$I44,"&gt;"&amp;PREMISSAS!$B$21,$E44:$I44,"&lt;="&amp;PREMISSAS!$B$20)*INDEX(TABELAS_OFICIAIS!$B$21:$B$23,MATCH(PREMISSAS!$B$5,TABELAS_OFICIAIS!$A$21:$A$23,0)),0)+IF($J44&gt;0,$J44*INDEX(TABELAS_OFICIAIS!$B$27:$B$29,MATCH(PREMISSAS!$B$5,TABELAS_OFICIAIS!$A$27:$A$29,0)),0)),"n/d — cotar com a cia"))</f>
        <v/>
      </c>
    </row>
    <row r="45">
      <c r="A45" s="16" t="n"/>
      <c r="B45" s="16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8">
        <f>IF($A45="","",SUM($E45:$I45))</f>
        <v/>
      </c>
      <c r="L45" s="18">
        <f>IF($A45="","",IF(COUNT($E45:$I45)=0,0,MAX($E45:$I45)))</f>
        <v/>
      </c>
      <c r="M45" s="19">
        <f>IF($A45="","",IF($C45&gt;PREMISSAS!$B$22,"acima de "&amp;PREMISSAS!$B$22&amp;" kg — confira o contrato da cia","ok"))</f>
        <v/>
      </c>
      <c r="N45" s="20">
        <f>IF($A45="","",IF($L45&gt;PREMISSAS!$B$19,"EXCESSO","ok"))</f>
        <v/>
      </c>
      <c r="O45" s="20">
        <f>IF($A45="","",IF($L45&gt;PREMISSAS!$B$20,"RECUSADO — vira carga",""))</f>
        <v/>
      </c>
      <c r="P45" s="21">
        <f>IF($A45="","",IFERROR(PREMISSAS!$B$7*(IF($D45&gt;=1,INDEX(TABELAS_OFICIAIS!$D$6:$F$14,MATCH(PREMISSAS!$B$11,TABELAS_OFICIAIS!$A$6:$A$14,0),1),0)+IF($D45&gt;=2,INDEX(TABELAS_OFICIAIS!$D$6:$F$14,MATCH(PREMISSAS!$B$11,TABELAS_OFICIAIS!$A$6:$A$14,0),2),0)+IF($D45&gt;=3,MAX(0,MIN($D45,5)-2)*INDEX(TABELAS_OFICIAIS!$D$6:$F$14,MATCH(PREMISSAS!$B$11,TABELAS_OFICIAIS!$A$6:$A$14,0),3),0)+IF(COUNTIFS($E45:$I45,"&gt;"&amp;PREMISSAS!$B$21,$E45:$I45,"&lt;="&amp;PREMISSAS!$B$20)&gt;0,COUNTIFS($E45:$I45,"&gt;"&amp;PREMISSAS!$B$21,$E45:$I45,"&lt;="&amp;PREMISSAS!$B$20)*INDEX(TABELAS_OFICIAIS!$B$21:$B$23,MATCH(PREMISSAS!$B$5,TABELAS_OFICIAIS!$A$21:$A$23,0)),0)+IF($J45&gt;0,$J45*INDEX(TABELAS_OFICIAIS!$B$27:$B$29,MATCH(PREMISSAS!$B$5,TABELAS_OFICIAIS!$A$27:$A$29,0)),0)),"n/d — cotar com a cia"))</f>
        <v/>
      </c>
    </row>
  </sheetData>
  <mergeCells count="3">
    <mergeCell ref="A1:P1"/>
    <mergeCell ref="A3:P3"/>
    <mergeCell ref="A2:P2"/>
  </mergeCells>
  <conditionalFormatting sqref="E6:I45">
    <cfRule type="cellIs" priority="1" operator="greaterThan" dxfId="0">
      <formula>45</formula>
    </cfRule>
    <cfRule type="cellIs" priority="2" operator="between" dxfId="1">
      <formula>23.0000001</formula>
      <formula>45</formula>
    </cfRule>
  </conditionalFormatting>
  <conditionalFormatting sqref="L6:L45">
    <cfRule type="cellIs" priority="3" operator="greaterThan" dxfId="0">
      <formula>45</formula>
    </cfRule>
    <cfRule type="cellIs" priority="4" operator="between" dxfId="1">
      <formula>23.0000001</formula>
      <formula>45</formula>
    </cfRule>
  </conditionalFormatting>
  <conditionalFormatting sqref="N6:O45">
    <cfRule type="cellIs" priority="5" operator="equal" dxfId="1">
      <formula>"EXCESSO"</formula>
    </cfRule>
    <cfRule type="cellIs" priority="6" operator="equal" dxfId="0">
      <formula>"RECUSADO — vira carga"</formula>
    </cfRule>
  </conditionalFormatting>
  <dataValidations count="1">
    <dataValidation sqref="D6:D45" showDropDown="0" showInputMessage="0" showErrorMessage="0" allowBlank="1" errorTitle="Volumes despachados" error="Azul: máximo 5 peças de 23 kg por passageiro/trecho (snapshot 15/07/2026)." type="whole" operator="between">
      <formula1>0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2" customWidth="1" min="3" max="3"/>
    <col width="60" customWidth="1" min="4" max="4"/>
  </cols>
  <sheetData>
    <row r="1" ht="26" customHeight="1">
      <c r="A1" s="1" t="inlineStr">
        <is>
          <t>RESUMO DA BAGAGEM DA COMITIVA</t>
        </is>
      </c>
    </row>
    <row r="2">
      <c r="A2" s="2" t="inlineStr">
        <is>
          <t>Tudo aqui é fórmula sobre a aba COMITIVA, com folga até a linha 45 — acrescente gente lá e este resumo acompanha sozinho.</t>
        </is>
      </c>
    </row>
    <row r="4" ht="30" customHeight="1">
      <c r="A4" s="3" t="inlineStr">
        <is>
          <t>Indicador</t>
        </is>
      </c>
      <c r="B4" s="3" t="inlineStr">
        <is>
          <t>Valor</t>
        </is>
      </c>
      <c r="C4" s="3" t="inlineStr">
        <is>
          <t>Unidade</t>
        </is>
      </c>
      <c r="D4" s="3" t="inlineStr">
        <is>
          <t>Observação</t>
        </is>
      </c>
    </row>
    <row r="5" ht="26" customHeight="1">
      <c r="A5" s="22" t="inlineStr">
        <is>
          <t>Pessoas na comitiva</t>
        </is>
      </c>
      <c r="B5" s="23">
        <f>COUNTA(COMITIVA!$A$6:$A$45)</f>
        <v/>
      </c>
      <c r="C5" s="4" t="inlineStr">
        <is>
          <t>pessoas</t>
        </is>
      </c>
      <c r="D5" s="7" t="inlineStr">
        <is>
          <t>Conta os nomes preenchidos. É a mesma célula de PREMISSAS!B10.</t>
        </is>
      </c>
    </row>
    <row r="6" ht="26" customHeight="1">
      <c r="A6" s="22" t="inlineStr">
        <is>
          <t>Volumes despachados (por trecho)</t>
        </is>
      </c>
      <c r="B6" s="23">
        <f>SUM(COMITIVA!$D$6:$D$45)</f>
        <v/>
      </c>
      <c r="C6" s="4" t="inlineStr">
        <is>
          <t>volumes</t>
        </is>
      </c>
      <c r="D6" s="7" t="inlineStr"/>
    </row>
    <row r="7" ht="26" customHeight="1">
      <c r="A7" s="22" t="inlineStr">
        <is>
          <t>Volumes despachados (ida + volta)</t>
        </is>
      </c>
      <c r="B7" s="23">
        <f>SUM(COMITIVA!$D$6:$D$45)*PREMISSAS!$B$7</f>
        <v/>
      </c>
      <c r="C7" s="4" t="inlineStr">
        <is>
          <t>volumes</t>
        </is>
      </c>
      <c r="D7" s="7" t="inlineStr">
        <is>
          <t>Bagagem se paga POR TRECHO.</t>
        </is>
      </c>
    </row>
    <row r="8" ht="26" customHeight="1">
      <c r="A8" s="22" t="inlineStr">
        <is>
          <t>Volumes especiais / case rígido (por trecho)</t>
        </is>
      </c>
      <c r="B8" s="23">
        <f>SUM(COMITIVA!$J$6:$J$45)</f>
        <v/>
      </c>
      <c r="C8" s="4" t="inlineStr">
        <is>
          <t>volumes</t>
        </is>
      </c>
      <c r="D8" s="7" t="inlineStr">
        <is>
          <t>GOL R$ 195 (até 292 cm) | Azul R$ 250 (acima de 158 cm) | LATAM não publica.</t>
        </is>
      </c>
    </row>
    <row r="9" ht="26" customHeight="1">
      <c r="A9" s="22" t="inlineStr">
        <is>
          <t>Peso total despachado (por trecho)</t>
        </is>
      </c>
      <c r="B9" s="24">
        <f>SUM(COMITIVA!$K$6:$K$45)</f>
        <v/>
      </c>
      <c r="C9" s="4" t="inlineStr">
        <is>
          <t>kg</t>
        </is>
      </c>
      <c r="D9" s="7" t="inlineStr"/>
    </row>
    <row r="10" ht="26" customHeight="1">
      <c r="A10" s="22" t="inlineStr">
        <is>
          <t>Peso total de mala de mão</t>
        </is>
      </c>
      <c r="B10" s="24">
        <f>SUM(COMITIVA!$C$6:$C$45)</f>
        <v/>
      </c>
      <c r="C10" s="4" t="inlineStr">
        <is>
          <t>kg</t>
        </is>
      </c>
      <c r="D10" s="7" t="inlineStr">
        <is>
          <t>Franquia mínima de 10 kg por pessoa (Res. ANAC 400/2016, art. 14).</t>
        </is>
      </c>
    </row>
    <row r="11" ht="26" customHeight="1">
      <c r="A11" s="22" t="inlineStr">
        <is>
          <t>Peso médio por volume despachado</t>
        </is>
      </c>
      <c r="B11" s="25">
        <f>IFERROR(SUM(COMITIVA!$K$6:$K$45)/SUM(COMITIVA!$D$6:$D$45),0)</f>
        <v/>
      </c>
      <c r="C11" s="4" t="inlineStr">
        <is>
          <t>kg</t>
        </is>
      </c>
      <c r="D11" s="7" t="inlineStr">
        <is>
          <t>Acima de 23 kg você já paga excesso em algum volume.</t>
        </is>
      </c>
    </row>
    <row r="12" ht="26" customHeight="1">
      <c r="A12" s="22" t="inlineStr">
        <is>
          <t>Volume mais pesado da comitiva</t>
        </is>
      </c>
      <c r="B12" s="25">
        <f>IFERROR(MAX(COMITIVA!$E$6:$I$45),0)</f>
        <v/>
      </c>
      <c r="C12" s="4" t="inlineStr">
        <is>
          <t>kg</t>
        </is>
      </c>
      <c r="D12" s="7" t="inlineStr">
        <is>
          <t>Se passar de 45 kg, a cia recusa: vira contrato de carga.</t>
        </is>
      </c>
    </row>
    <row r="14">
      <c r="A14" s="9" t="inlineStr">
        <is>
          <t>CUSTO</t>
        </is>
      </c>
    </row>
    <row r="15" ht="28" customHeight="1">
      <c r="A15" s="22" t="inlineStr">
        <is>
          <t>CUSTO TOTAL DA BAGAGEM (ida + volta)</t>
        </is>
      </c>
      <c r="B15" s="26">
        <f>SUM(COMITIVA!$P$6:$P$45)</f>
        <v/>
      </c>
      <c r="C15" s="4" t="inlineStr">
        <is>
          <t>R$</t>
        </is>
      </c>
      <c r="D15" s="7" t="inlineStr">
        <is>
          <t>SOMA(COMITIVA!P6:P45) — com folga até a linha 45 de propósito. A SOMA ignora texto em silêncio: se a cia não publicar preço, o alerta abaixo é o que te salva.</t>
        </is>
      </c>
    </row>
    <row r="16" ht="28" customHeight="1">
      <c r="A16" s="22" t="inlineStr">
        <is>
          <t>Custo médio de bagagem por pessoa</t>
        </is>
      </c>
      <c r="B16" s="27">
        <f>IFERROR(SUM(COMITIVA!$P$6:$P$45)/COUNTA(COMITIVA!$A$6:$A$45),0)</f>
        <v/>
      </c>
      <c r="C16" s="4" t="inlineStr">
        <is>
          <t>R$</t>
        </is>
      </c>
      <c r="D16" s="7" t="inlineStr"/>
    </row>
    <row r="17" ht="28" customHeight="1">
      <c r="A17" s="22" t="inlineStr">
        <is>
          <t>Custo médio por volume despachado</t>
        </is>
      </c>
      <c r="B17" s="27">
        <f>IFERROR(SUM(COMITIVA!$P$6:$P$45)/(SUM(COMITIVA!$D$6:$D$45)*PREMISSAS!$B$7),0)</f>
        <v/>
      </c>
      <c r="C17" s="4" t="inlineStr">
        <is>
          <t>R$</t>
        </is>
      </c>
      <c r="D17" s="7" t="inlineStr">
        <is>
          <t>Compare com o preço da 1ª peça: se estiver bem acima, você está pagando excesso e não percebeu.</t>
        </is>
      </c>
    </row>
    <row r="18" ht="28" customHeight="1">
      <c r="A18" s="22" t="inlineStr">
        <is>
          <t>Custo se TODO mundo despachasse 1 peça só, sem excesso e sem especial</t>
        </is>
      </c>
      <c r="B18" s="27">
        <f>IFERROR(COUNTA(COMITIVA!$A$6:$A$45)*PREMISSAS!$B$12*PREMISSAS!$B$7,0)</f>
        <v/>
      </c>
      <c r="C18" s="4" t="inlineStr">
        <is>
          <t>R$</t>
        </is>
      </c>
      <c r="D18" s="7" t="inlineStr">
        <is>
          <t>É o piso teórico da comitiva. A diferença para a linha 15 é o que a bagagem extra, o excesso e o case rígido custam de verdade.</t>
        </is>
      </c>
    </row>
    <row r="19" ht="28" customHeight="1">
      <c r="A19" s="22" t="inlineStr">
        <is>
          <t>Quanto a bagagem extra está custando além do piso</t>
        </is>
      </c>
      <c r="B19" s="27">
        <f>IFERROR(SUM(COMITIVA!$P$6:$P$45)-$B$18,0)</f>
        <v/>
      </c>
      <c r="C19" s="4" t="inlineStr">
        <is>
          <t>R$</t>
        </is>
      </c>
      <c r="D19" s="7" t="inlineStr">
        <is>
          <t>Se este número te assusta, é porque ele deveria ter aparecido no orçamento — e não na fatura.</t>
        </is>
      </c>
    </row>
    <row r="20">
      <c r="A20" s="9" t="inlineStr">
        <is>
          <t>ALERTAS</t>
        </is>
      </c>
    </row>
    <row r="21" ht="26" customHeight="1">
      <c r="A21" s="4" t="inlineStr">
        <is>
          <t>Nº de volumes com EXCESSO (acima de 23 kg)</t>
        </is>
      </c>
      <c r="B21" s="23">
        <f>COUNTIF(COMITIVA!$N$6:$N$45,"EXCESSO")</f>
        <v/>
      </c>
      <c r="C21" s="4" t="inlineStr">
        <is>
          <t>pessoas</t>
        </is>
      </c>
      <c r="D21" s="7" t="inlineStr">
        <is>
          <t>Conta PESSOAS cujo volume mais pesado passa de 23 kg.</t>
        </is>
      </c>
    </row>
    <row r="22" ht="26" customHeight="1">
      <c r="A22" s="4" t="inlineStr">
        <is>
          <t>Nº de volumes RECUSADOS (acima de 45 kg)</t>
        </is>
      </c>
      <c r="B22" s="23">
        <f>COUNTIF(COMITIVA!$O$6:$O$45,"RECUSADO — vira carga")</f>
        <v/>
      </c>
      <c r="C22" s="4" t="inlineStr">
        <is>
          <t>pessoas</t>
        </is>
      </c>
      <c r="D22" s="7" t="inlineStr">
        <is>
          <t>Acima de 45 kg não é bagagem: é carga. Res. ANAC 400/2016, art. 15.</t>
        </is>
      </c>
    </row>
    <row r="23" ht="26" customHeight="1">
      <c r="A23" s="4" t="inlineStr">
        <is>
          <t>Nº de pessoas com mala de mão acima de 10 kg</t>
        </is>
      </c>
      <c r="B23" s="23">
        <f>COUNTIF(COMITIVA!$C$6:$C$45,"&gt;"&amp;PREMISSAS!$B$22)</f>
        <v/>
      </c>
      <c r="C23" s="4" t="inlineStr">
        <is>
          <t>pessoas</t>
        </is>
      </c>
      <c r="D23" s="7" t="inlineStr">
        <is>
          <t>10 kg é a franquia MÍNIMA da norma. Acima disso depende do contrato da cia — confira antes.</t>
        </is>
      </c>
    </row>
    <row r="24" ht="26" customHeight="1">
      <c r="A24" s="4" t="inlineStr">
        <is>
          <t>Total de alertas</t>
        </is>
      </c>
      <c r="B24" s="23">
        <f>$B$21+$B$22+$B$23</f>
        <v/>
      </c>
      <c r="C24" s="4" t="inlineStr">
        <is>
          <t>alertas</t>
        </is>
      </c>
      <c r="D24" s="7" t="inlineStr">
        <is>
          <t>Zero é a meta. Não é decoração.</t>
        </is>
      </c>
    </row>
    <row r="26" ht="30" customHeight="1">
      <c r="A26" s="28">
        <f>IF(COUNTIF(COMITIVA!$P$6:$P$45,"n/d — cotar com a cia")&gt;0,"⚠ A companhia escolhida NÃO publica preço de despacho. A SOMA da linha 15 está ignorando essas linhas em SILÊNCIO — o total está mais baixo que a realidade. Cote com a cia antes de fechar.","ok — todos os itens têm preço oficial publicado")</f>
        <v/>
      </c>
    </row>
    <row r="27" ht="30" customHeight="1">
      <c r="A27" s="28">
        <f>IF($B$22&gt;0,"⛔ Há volume acima de 45 kg. Isso não embarca como bagagem: a companhia recusa ou submete a contrato de transporte de CARGA (Res. ANAC 400/2016, art. 15). Replaneje ou mande de carga.","")</f>
        <v/>
      </c>
    </row>
    <row r="28" ht="30" customHeight="1">
      <c r="A28" s="28">
        <f>IF($B$21&gt;0,"⚠ Há volume na faixa acima de 23 kg. Entre 23 e 32 kg a GOL tem DUAS páginas oficiais divergentes (R$ 170 × R$ 275) — esta planilha não cobra essa faixa de propósito, então o custo real pode ser MAIOR. De 32 a 45 kg a GOL publica R$ 350/volume.","")</f>
        <v/>
      </c>
    </row>
    <row r="29" ht="30" customHeight="1">
      <c r="A29" s="28">
        <f>IF(SUM(COMITIVA!$J$6:$J$45)&gt;0,"⚠ Há bagagem especial/diferenciada (case rígido). Lembre: na GOL, cliente Smiles NÃO tem gratuidade, tarifa com despacho grátis NÃO cobre a diferenciada, e a GOL não se responsabiliza por danos a bagagem diferenciada.","")</f>
        <v/>
      </c>
    </row>
    <row r="30" ht="30" customHeight="1">
      <c r="A30" s="28">
        <f>IF(PREMISSAS!$B$5="Azul","⚠ Azul: alto-falante, amplificador e caixa acústica são ARTIGO PERIGOSO — só até 95 cm somados e 1 por passageiro. Acima disso vai de Azul Cargo, não de bagagem. É isto que quebra o plano de levar backline na mala.","")</f>
        <v/>
      </c>
    </row>
    <row r="31" ht="30" customHeight="1">
      <c r="A31" s="28">
        <f>IF(PREMISSAS!$B$7&lt;2,"⚠ Você está orçando bagagem em 1 trecho só. Despacho se paga POR TRECHO: ida e volta = 2.","")</f>
        <v/>
      </c>
    </row>
    <row r="32" ht="30" customHeight="1">
      <c r="A32" s="28">
        <f>"Lembrete: o PL 5041/2025 (12 kg de mão + 23 kg despachado grátis) NÃO é lei. Foi aprovado na Câmara em 28/10/2025 e está parado no Senado desde 05/11/2025. Blog que diz que já vale está errado — e quem orça por ele perde dinheiro."</f>
        <v/>
      </c>
    </row>
  </sheetData>
  <mergeCells count="9">
    <mergeCell ref="A1:D1"/>
    <mergeCell ref="A27:D27"/>
    <mergeCell ref="A31:D31"/>
    <mergeCell ref="A26:D26"/>
    <mergeCell ref="A30:D30"/>
    <mergeCell ref="A29:D29"/>
    <mergeCell ref="A2:D2"/>
    <mergeCell ref="A28:D28"/>
    <mergeCell ref="A32:D32"/>
  </mergeCells>
  <conditionalFormatting sqref="B21:B24">
    <cfRule type="cellIs" priority="1" operator="greaterThan" dxfId="1">
      <formula>0</formula>
    </cfRule>
  </conditionalFormatting>
  <conditionalFormatting sqref="B22"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30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</cols>
  <sheetData>
    <row r="1" ht="26" customHeight="1">
      <c r="A1" s="1" t="inlineStr">
        <is>
          <t>TABELAS OFICIAIS - snapshot 15/07/2026 (nao edite: dado de fonte)</t>
        </is>
      </c>
    </row>
    <row r="2" ht="28" customHeight="1">
      <c r="A2" s="2" t="inlineStr">
        <is>
          <t>Preco de bagagem NAO e tabelado por lei: e contrato acessorio (Res. ANAC 400/2016, art. 13) e preco livre. Os valores abaixo sao SNAPSHOT de 15/07/2026 das paginas oficiais das cias e mudam sem aviso. Confira antes de fechar orcamento.</t>
        </is>
      </c>
    </row>
    <row r="4">
      <c r="A4" s="9" t="inlineStr">
        <is>
          <t>A) DESPACHO NACIONAL - preco por peca, por trecho (R$)</t>
        </is>
      </c>
    </row>
    <row r="5" ht="30" customHeight="1">
      <c r="A5" s="3" t="inlineStr">
        <is>
          <t>Chave (cia|antecedencia)</t>
        </is>
      </c>
      <c r="B5" s="3" t="inlineStr">
        <is>
          <t>Companhia</t>
        </is>
      </c>
      <c r="C5" s="3" t="inlineStr">
        <is>
          <t>Antecedencia</t>
        </is>
      </c>
      <c r="D5" s="3" t="inlineStr">
        <is>
          <t>1a peca (R$)</t>
        </is>
      </c>
      <c r="E5" s="3" t="inlineStr">
        <is>
          <t>2a peca (R$)</t>
        </is>
      </c>
      <c r="F5" s="3" t="inlineStr">
        <is>
          <t>3a a 5a peca (R$)</t>
        </is>
      </c>
      <c r="G5" s="3" t="inlineStr">
        <is>
          <t>Fonte</t>
        </is>
      </c>
      <c r="H5" s="3" t="inlineStr">
        <is>
          <t>Snapshot</t>
        </is>
      </c>
    </row>
    <row r="6">
      <c r="A6" s="4" t="inlineStr">
        <is>
          <t>GOL|48h ou mais</t>
        </is>
      </c>
      <c r="B6" s="4" t="inlineStr">
        <is>
          <t>GOL</t>
        </is>
      </c>
      <c r="C6" s="4" t="inlineStr">
        <is>
          <t>48h ou mais</t>
        </is>
      </c>
      <c r="D6" s="29" t="n">
        <v>130</v>
      </c>
      <c r="E6" s="29" t="n">
        <v>155</v>
      </c>
      <c r="F6" s="29" t="n">
        <v>210</v>
      </c>
      <c r="G6" s="30" t="inlineStr">
        <is>
          <t>GOL - tabela publicada de bagagem nacional (_FATOS-VIAGEM.md, sec. 2)</t>
        </is>
      </c>
      <c r="H6" s="4" t="inlineStr">
        <is>
          <t>snapshot 15/07/2026</t>
        </is>
      </c>
    </row>
    <row r="7">
      <c r="A7" s="4" t="inlineStr">
        <is>
          <t>GOL|menos de 48h</t>
        </is>
      </c>
      <c r="B7" s="4" t="inlineStr">
        <is>
          <t>GOL</t>
        </is>
      </c>
      <c r="C7" s="4" t="inlineStr">
        <is>
          <t>menos de 48h</t>
        </is>
      </c>
      <c r="D7" s="29" t="n">
        <v>165</v>
      </c>
      <c r="E7" s="29" t="n">
        <v>200</v>
      </c>
      <c r="F7" s="29" t="n">
        <v>280</v>
      </c>
      <c r="G7" s="30" t="inlineStr">
        <is>
          <t>GOL - tabela publicada de bagagem nacional (_FATOS-VIAGEM.md, sec. 2)</t>
        </is>
      </c>
      <c r="H7" s="4" t="inlineStr">
        <is>
          <t>snapshot 15/07/2026</t>
        </is>
      </c>
    </row>
    <row r="8">
      <c r="A8" s="4" t="inlineStr">
        <is>
          <t>GOL|no aeroporto</t>
        </is>
      </c>
      <c r="B8" s="4" t="inlineStr">
        <is>
          <t>GOL</t>
        </is>
      </c>
      <c r="C8" s="4" t="inlineStr">
        <is>
          <t>no aeroporto</t>
        </is>
      </c>
      <c r="D8" s="29" t="n">
        <v>180</v>
      </c>
      <c r="E8" s="29" t="n">
        <v>200</v>
      </c>
      <c r="F8" s="29" t="n">
        <v>280</v>
      </c>
      <c r="G8" s="30" t="inlineStr">
        <is>
          <t>GOL - tabela publicada de bagagem nacional (_FATOS-VIAGEM.md, sec. 2)</t>
        </is>
      </c>
      <c r="H8" s="4" t="inlineStr">
        <is>
          <t>snapshot 15/07/2026</t>
        </is>
      </c>
    </row>
    <row r="9">
      <c r="A9" s="4" t="inlineStr">
        <is>
          <t>Azul|48h ou mais</t>
        </is>
      </c>
      <c r="B9" s="4" t="inlineStr">
        <is>
          <t>Azul</t>
        </is>
      </c>
      <c r="C9" s="4" t="inlineStr">
        <is>
          <t>48h ou mais</t>
        </is>
      </c>
      <c r="D9" s="29" t="n">
        <v>175</v>
      </c>
      <c r="E9" s="29" t="n">
        <v>200</v>
      </c>
      <c r="F9" s="29" t="n">
        <v>220</v>
      </c>
      <c r="G9" s="30" t="inlineStr">
        <is>
          <t>Azul - tabela publicada Brasil (_FATOS-VIAGEM.md, sec. 2)</t>
        </is>
      </c>
      <c r="H9" s="4" t="inlineStr">
        <is>
          <t>snapshot 15/07/2026</t>
        </is>
      </c>
    </row>
    <row r="10">
      <c r="A10" s="4" t="inlineStr">
        <is>
          <t>Azul|menos de 48h</t>
        </is>
      </c>
      <c r="B10" s="4" t="inlineStr">
        <is>
          <t>Azul</t>
        </is>
      </c>
      <c r="C10" s="4" t="inlineStr">
        <is>
          <t>menos de 48h</t>
        </is>
      </c>
      <c r="D10" s="29" t="n">
        <v>200</v>
      </c>
      <c r="E10" s="29" t="n">
        <v>220</v>
      </c>
      <c r="F10" s="29" t="n">
        <v>280</v>
      </c>
      <c r="G10" s="30" t="inlineStr">
        <is>
          <t>Azul - tabela publicada Brasil (_FATOS-VIAGEM.md, sec. 2)</t>
        </is>
      </c>
      <c r="H10" s="4" t="inlineStr">
        <is>
          <t>snapshot 15/07/2026</t>
        </is>
      </c>
    </row>
    <row r="11">
      <c r="A11" s="4" t="inlineStr">
        <is>
          <t>Azul|no aeroporto</t>
        </is>
      </c>
      <c r="B11" s="4" t="inlineStr">
        <is>
          <t>Azul</t>
        </is>
      </c>
      <c r="C11" s="4" t="inlineStr">
        <is>
          <t>no aeroporto</t>
        </is>
      </c>
      <c r="D11" s="31" t="inlineStr">
        <is>
          <t>nao publicado</t>
        </is>
      </c>
      <c r="E11" s="31" t="inlineStr">
        <is>
          <t>nao publicado</t>
        </is>
      </c>
      <c r="F11" s="31" t="inlineStr">
        <is>
          <t>nao publicado</t>
        </is>
      </c>
      <c r="G11" s="30" t="inlineStr">
        <is>
          <t>Azul nao publica preco de balcao/aeroporto. Azul - tabela publicada Brasil (_FATOS-VIAGEM.md, sec. 2)</t>
        </is>
      </c>
      <c r="H11" s="4" t="inlineStr">
        <is>
          <t>snapshot 15/07/2026</t>
        </is>
      </c>
    </row>
    <row r="12">
      <c r="A12" s="4" t="inlineStr">
        <is>
          <t>LATAM|48h ou mais</t>
        </is>
      </c>
      <c r="B12" s="4" t="inlineStr">
        <is>
          <t>LATAM</t>
        </is>
      </c>
      <c r="C12" s="4" t="inlineStr">
        <is>
          <t>48h ou mais</t>
        </is>
      </c>
      <c r="D12" s="31" t="inlineStr">
        <is>
          <t>nao publicado</t>
        </is>
      </c>
      <c r="E12" s="31" t="inlineStr">
        <is>
          <t>nao publicado</t>
        </is>
      </c>
      <c r="F12" s="31" t="inlineStr">
        <is>
          <t>nao publicado</t>
        </is>
      </c>
      <c r="G12" s="30" t="inlineStr">
        <is>
          <t>LATAM - preco DINAMICO, nao publicado (_FATOS-VIAGEM.md, sec. 2)</t>
        </is>
      </c>
      <c r="H12" s="4" t="inlineStr">
        <is>
          <t>snapshot 15/07/2026</t>
        </is>
      </c>
    </row>
    <row r="13">
      <c r="A13" s="4" t="inlineStr">
        <is>
          <t>LATAM|menos de 48h</t>
        </is>
      </c>
      <c r="B13" s="4" t="inlineStr">
        <is>
          <t>LATAM</t>
        </is>
      </c>
      <c r="C13" s="4" t="inlineStr">
        <is>
          <t>menos de 48h</t>
        </is>
      </c>
      <c r="D13" s="31" t="inlineStr">
        <is>
          <t>nao publicado</t>
        </is>
      </c>
      <c r="E13" s="31" t="inlineStr">
        <is>
          <t>nao publicado</t>
        </is>
      </c>
      <c r="F13" s="31" t="inlineStr">
        <is>
          <t>nao publicado</t>
        </is>
      </c>
      <c r="G13" s="30" t="inlineStr">
        <is>
          <t>LATAM - preco DINAMICO, nao publicado (_FATOS-VIAGEM.md, sec. 2)</t>
        </is>
      </c>
      <c r="H13" s="4" t="inlineStr">
        <is>
          <t>snapshot 15/07/2026</t>
        </is>
      </c>
    </row>
    <row r="14">
      <c r="A14" s="4" t="inlineStr">
        <is>
          <t>LATAM|no aeroporto</t>
        </is>
      </c>
      <c r="B14" s="4" t="inlineStr">
        <is>
          <t>LATAM</t>
        </is>
      </c>
      <c r="C14" s="4" t="inlineStr">
        <is>
          <t>no aeroporto</t>
        </is>
      </c>
      <c r="D14" s="31" t="inlineStr">
        <is>
          <t>nao publicado</t>
        </is>
      </c>
      <c r="E14" s="31" t="inlineStr">
        <is>
          <t>nao publicado</t>
        </is>
      </c>
      <c r="F14" s="31" t="inlineStr">
        <is>
          <t>nao publicado</t>
        </is>
      </c>
      <c r="G14" s="30" t="inlineStr">
        <is>
          <t>LATAM - preco DINAMICO, nao publicado (_FATOS-VIAGEM.md, sec. 2)</t>
        </is>
      </c>
      <c r="H14" s="4" t="inlineStr">
        <is>
          <t>snapshot 15/07/2026</t>
        </is>
      </c>
    </row>
    <row r="16">
      <c r="A16" s="32" t="inlineStr">
        <is>
          <t>Azul: maximo de 5 pecas de 23 kg por passageiro/trecho. Fonte: _FATOS-VIAGEM.md sec. 2 (Azul Brasil publicado).</t>
        </is>
      </c>
    </row>
    <row r="17">
      <c r="A17" s="33" t="inlineStr">
        <is>
          <t>NAO EXISTE NESTA PLANILHA a faixa de excesso 23-&gt;32 kg da GOL: duas paginas oficiais da GOL divergem (R$ 170 x R$ 275). Dado em conflito nao vira celula - vira alerta.</t>
        </is>
      </c>
    </row>
    <row r="19">
      <c r="A19" s="9" t="inlineStr">
        <is>
          <t>B) EXCESSO DE PESO - 32 kg a 45 kg, por volume (R$)</t>
        </is>
      </c>
    </row>
    <row r="20" ht="30" customHeight="1">
      <c r="A20" s="3" t="inlineStr">
        <is>
          <t>Companhia</t>
        </is>
      </c>
      <c r="B20" s="3" t="inlineStr">
        <is>
          <t>Excesso 32-45 kg (R$/volume)</t>
        </is>
      </c>
      <c r="C20" s="3" t="inlineStr">
        <is>
          <t>Observacao</t>
        </is>
      </c>
      <c r="D20" s="3" t="inlineStr">
        <is>
          <t>Fonte</t>
        </is>
      </c>
    </row>
    <row r="21">
      <c r="A21" s="4" t="inlineStr">
        <is>
          <t>GOL</t>
        </is>
      </c>
      <c r="B21" s="29" t="n">
        <v>350</v>
      </c>
      <c r="C21" s="30" t="inlineStr">
        <is>
          <t>Excesso de 32 kg ate 45 kg por volume. Acima de 45 kg NAO transporta.</t>
        </is>
      </c>
      <c r="D21" s="30" t="inlineStr">
        <is>
          <t>GOL - tabela publicada de bagagem nacional (_FATOS-VIAGEM.md, sec. 2)</t>
        </is>
      </c>
    </row>
    <row r="22">
      <c r="A22" s="4" t="inlineStr">
        <is>
          <t>Azul</t>
        </is>
      </c>
      <c r="B22" s="31" t="inlineStr">
        <is>
          <t>nao publicado</t>
        </is>
      </c>
      <c r="C22" s="30" t="inlineStr">
        <is>
          <t>Azul nao publica preco de excesso de peso. Recusa acima de 45 kg (BR) / 32 kg (Europa).</t>
        </is>
      </c>
      <c r="D22" s="30" t="inlineStr">
        <is>
          <t>Azul - tabela publicada Brasil (_FATOS-VIAGEM.md, sec. 2)</t>
        </is>
      </c>
    </row>
    <row r="23">
      <c r="A23" s="4" t="inlineStr">
        <is>
          <t>LATAM</t>
        </is>
      </c>
      <c r="B23" s="31" t="inlineStr">
        <is>
          <t>nao publicado</t>
        </is>
      </c>
      <c r="C23" s="30" t="inlineStr">
        <is>
          <t>Preco dinamico, nao publicado. Nao transporta acima de 45 kg (32 kg em rotas especificas).</t>
        </is>
      </c>
      <c r="D23" s="30" t="inlineStr">
        <is>
          <t>LATAM - preco DINAMICO, nao publicado (_FATOS-VIAGEM.md, sec. 2)</t>
        </is>
      </c>
    </row>
    <row r="25">
      <c r="A25" s="9" t="inlineStr">
        <is>
          <t>C) BAGAGEM ESPECIAL / DIFERENCIADA - case rigido obrigatorio (bumbo, contrabaixo, tuba, violoncelo) - por volume, por trecho (R$)</t>
        </is>
      </c>
    </row>
    <row r="26" ht="30" customHeight="1">
      <c r="A26" s="3" t="inlineStr">
        <is>
          <t>Companhia</t>
        </is>
      </c>
      <c r="B26" s="3" t="inlineStr">
        <is>
          <t>Preco (R$/volume)</t>
        </is>
      </c>
      <c r="C26" s="3" t="inlineStr">
        <is>
          <t>Observacao</t>
        </is>
      </c>
      <c r="D26" s="3" t="inlineStr">
        <is>
          <t>Fonte</t>
        </is>
      </c>
    </row>
    <row r="27">
      <c r="A27" s="4" t="inlineStr">
        <is>
          <t>GOL</t>
        </is>
      </c>
      <c r="B27" s="29" t="n">
        <v>195</v>
      </c>
      <c r="C27" s="30" t="inlineStr">
        <is>
          <t>292 cm (A+B+C), ate 23 kg. Mesmo preco em +48h / -48h / aeroporto. Cliente Smiles NAO tem gratuidade; tarifa com despacho gratis NAO cobre a diferenciada; a GOL nao se responsabiliza por danos a bagagem diferenciada.</t>
        </is>
      </c>
      <c r="D27" s="30" t="inlineStr">
        <is>
          <t>GOL - tabela publicada de bagagem nacional (_FATOS-VIAGEM.md, sec. 2)</t>
        </is>
      </c>
    </row>
    <row r="28">
      <c r="A28" s="4" t="inlineStr">
        <is>
          <t>Azul</t>
        </is>
      </c>
      <c r="B28" s="29" t="n">
        <v>250</v>
      </c>
      <c r="C28" s="30" t="inlineStr">
        <is>
          <t>Acima de 158 cm somados ja e ESPECIAL. Preco Brasil.</t>
        </is>
      </c>
      <c r="D28" s="30" t="inlineStr">
        <is>
          <t>Azul - tabela publicada Brasil (_FATOS-VIAGEM.md, sec. 2)</t>
        </is>
      </c>
    </row>
    <row r="29">
      <c r="A29" s="4" t="inlineStr">
        <is>
          <t>LATAM</t>
        </is>
      </c>
      <c r="B29" s="31" t="inlineStr">
        <is>
          <t>nao publicado</t>
        </is>
      </c>
      <c r="C29" s="30" t="inlineStr">
        <is>
          <t>Limite 300 cm lineares. Preco nao publicado. Violao/guitarra com estojo = bagagem REGULAR (consome a franquia).</t>
        </is>
      </c>
      <c r="D29" s="30" t="inlineStr">
        <is>
          <t>LATAM - preco DINAMICO, nao publicado (_FATOS-VIAGEM.md, sec. 2)</t>
        </is>
      </c>
    </row>
    <row r="31">
      <c r="A31" s="9" t="inlineStr">
        <is>
          <t>D) FRANQUIAS E LIMITES (dado de norma / contrato de cia)</t>
        </is>
      </c>
    </row>
    <row r="32" ht="30" customHeight="1">
      <c r="A32" s="3" t="inlineStr">
        <is>
          <t>Tema</t>
        </is>
      </c>
      <c r="B32" s="3" t="inlineStr">
        <is>
          <t>Fato</t>
        </is>
      </c>
      <c r="C32" s="3" t="inlineStr">
        <is>
          <t>Fonte</t>
        </is>
      </c>
    </row>
    <row r="33" ht="30" customHeight="1">
      <c r="A33" s="34" t="inlineStr">
        <is>
          <t>Bagagem de mao - franquia minima</t>
        </is>
      </c>
      <c r="B33" s="35" t="inlineStr">
        <is>
          <t>10 kg. A norma NAO fixa dimensao: dimensao e quantidade sao do CONTRATO DE TRANSPORTE de cada cia.</t>
        </is>
      </c>
      <c r="C33" s="36" t="inlineStr">
        <is>
          <t>Res. ANAC 400/2016, art. 14</t>
        </is>
      </c>
    </row>
    <row r="34" ht="30" customHeight="1">
      <c r="A34" s="34" t="inlineStr">
        <is>
          <t>MITO N.1</t>
        </is>
      </c>
      <c r="B34" s="35" t="inlineStr">
        <is>
          <t>55x35x25 cm NAO e 'padrao ANAC'. E contrato de cada companhia.</t>
        </is>
      </c>
      <c r="C34" s="36" t="inlineStr">
        <is>
          <t>Res. ANAC 400/2016, art. 14</t>
        </is>
      </c>
    </row>
    <row r="35" ht="30" customHeight="1">
      <c r="A35" s="34" t="inlineStr">
        <is>
          <t>Bagagem despachada</t>
        </is>
      </c>
      <c r="B35" s="35" t="inlineStr">
        <is>
          <t>Configura CONTRATO ACESSORIO -&gt; franquia gratis NAO e obrigatoria.</t>
        </is>
      </c>
      <c r="C35" s="36" t="inlineStr">
        <is>
          <t>Res. ANAC 400/2016, art. 13</t>
        </is>
      </c>
    </row>
    <row r="36" ht="30" customHeight="1">
      <c r="A36" s="34" t="inlineStr">
        <is>
          <t>Bagagem fora das regras</t>
        </is>
      </c>
      <c r="B36" s="35" t="inlineStr">
        <is>
          <t>Pode ser RECUSADA ou submetida a contrato de transporte de CARGA.</t>
        </is>
      </c>
      <c r="C36" s="36" t="inlineStr">
        <is>
          <t>Res. ANAC 400/2016, art. 15</t>
        </is>
      </c>
    </row>
    <row r="37" ht="30" customHeight="1">
      <c r="A37" s="34" t="inlineStr">
        <is>
          <t>Limite de indenizacao (domestico)</t>
        </is>
      </c>
      <c r="B37" s="35" t="inlineStr">
        <is>
          <t>1.131 DES.</t>
        </is>
      </c>
      <c r="C37" s="36" t="inlineStr">
        <is>
          <t>Res. ANAC 400/2016, art. 17</t>
        </is>
      </c>
    </row>
    <row r="38" ht="30" customHeight="1">
      <c r="A38" s="34" t="inlineStr">
        <is>
          <t>Peso por volume despachado</t>
        </is>
      </c>
      <c r="B38" s="35" t="inlineStr">
        <is>
          <t>23 kg (GOL / Azul / LATAM).</t>
        </is>
      </c>
      <c r="C38" s="36" t="inlineStr">
        <is>
          <t>Cias - snapshot 15/07/2026</t>
        </is>
      </c>
    </row>
    <row r="39" ht="30" customHeight="1">
      <c r="A39" s="34" t="inlineStr">
        <is>
          <t>Dimensao do volume despachado</t>
        </is>
      </c>
      <c r="B39" s="35" t="inlineStr">
        <is>
          <t>LATAM 158 cm lineares | GOL 80x50x28 | Azul 158 cm somados.</t>
        </is>
      </c>
      <c r="C39" s="36" t="inlineStr">
        <is>
          <t>Cias - snapshot 15/07/2026</t>
        </is>
      </c>
    </row>
    <row r="40" ht="30" customHeight="1">
      <c r="A40" s="34" t="inlineStr">
        <is>
          <t>Recusa por peso</t>
        </is>
      </c>
      <c r="B40" s="35" t="inlineStr">
        <is>
          <t>Acima de 45 kg NAO transporta (GOL/Azul/LATAM no Brasil). 32 kg e limite internacional/Europa.</t>
        </is>
      </c>
      <c r="C40" s="36" t="inlineStr">
        <is>
          <t>Cias - snapshot 15/07/2026</t>
        </is>
      </c>
    </row>
    <row r="41" ht="30" customHeight="1">
      <c r="A41" s="34" t="inlineStr">
        <is>
          <t>MITO N.3</t>
        </is>
      </c>
      <c r="B41" s="35" t="inlineStr">
        <is>
          <t>'32 kg e o limite por saude do trabalhador' NAO vale no domestico brasileiro: as tres aceitam ate 45 kg por volume pagando excesso.</t>
        </is>
      </c>
      <c r="C41" s="36" t="inlineStr">
        <is>
          <t>Cias - snapshot 15/07/2026</t>
        </is>
      </c>
    </row>
    <row r="42" ht="30" customHeight="1">
      <c r="A42" s="34" t="inlineStr">
        <is>
          <t>Item pessoal</t>
        </is>
      </c>
      <c r="B42" s="35" t="inlineStr">
        <is>
          <t>LATAM 45x35x20 10 kg | GOL 32x43x22 10 kg | Azul 45x35x20 SEM limite de peso.</t>
        </is>
      </c>
      <c r="C42" s="36" t="inlineStr">
        <is>
          <t>Cias - snapshot 15/07/2026</t>
        </is>
      </c>
    </row>
    <row r="43" ht="30" customHeight="1">
      <c r="A43" s="34" t="inlineStr">
        <is>
          <t>Mala de cabine</t>
        </is>
      </c>
      <c r="B43" s="35" t="inlineStr">
        <is>
          <t>LATAM 55x35x25 12 kg (nao inclusa na Basic) | GOL 55x35x25 12 kg (desde 14/10/2025; antes 10 kg) | Azul 55x35x25 (115 cm) 10 kg.</t>
        </is>
      </c>
      <c r="C43" s="36" t="inlineStr">
        <is>
          <t>Cias - snapshot 15/07/2026</t>
        </is>
      </c>
    </row>
    <row r="44" ht="30" customHeight="1">
      <c r="A44" s="34" t="inlineStr">
        <is>
          <t>MITO N.2 - PL 5041/2025</t>
        </is>
      </c>
      <c r="B44" s="35" t="inlineStr">
        <is>
          <t>12 kg de mao + 23 kg despachado gratis NAO E LEI. Aprovado na Camara em 28/10/2025, PARADO NO SENADO desde 05/11/2025.</t>
        </is>
      </c>
      <c r="C44" s="36" t="inlineStr">
        <is>
          <t>Tramitacao legislativa - snapshot 15/07/2026</t>
        </is>
      </c>
    </row>
    <row r="45" ht="30" customHeight="1">
      <c r="A45" s="34" t="inlineStr">
        <is>
          <t>Azul - objetos magneticos</t>
        </is>
      </c>
      <c r="B45" s="35" t="inlineStr">
        <is>
          <t>Alto-falante, AMPLIFICADOR e CAIXA ACUSTICA sao artigos perigosos: so ate 95 cm somados e 1 por passageiro. Acima disso -&gt; Azul Cargo. (E isto que quebra o plano de levar backline como bagagem.)</t>
        </is>
      </c>
      <c r="C45" s="36" t="inlineStr">
        <is>
          <t>Azul - snapshot 15/07/2026</t>
        </is>
      </c>
    </row>
    <row r="46" ht="30" customHeight="1">
      <c r="A46" s="34" t="inlineStr">
        <is>
          <t>Baterias de litio</t>
        </is>
      </c>
      <c r="B46" s="35" t="inlineStr">
        <is>
          <t>GOL: novas regras a partir de 04/05/2026, so na bagagem de mao, PROIBIDAS na despachada. Azul: max. 2 unidades; ate 100 Wh livre; 100-160 Wh com autorizacao previa; acima de 160 Wh proibido; proibido recarregar a bordo.</t>
        </is>
      </c>
      <c r="C46" s="36" t="inlineStr">
        <is>
          <t>Cias - snapshot 15/07/2026</t>
        </is>
      </c>
    </row>
    <row r="47" ht="30" customHeight="1">
      <c r="A47" s="34" t="inlineStr">
        <is>
          <t>Instrumento na cabine</t>
        </is>
      </c>
      <c r="B47" s="35" t="inlineStr">
        <is>
          <t>GOL: guitarras e violoes podem ir na cabine como bagagem de mao. Azul: violao/guitarra na cabine SUBSTITUEM a bagagem de mao de 10 kg. LATAM: NAO AFIRMAR - duas paginas oficiais se contradizem.</t>
        </is>
      </c>
      <c r="C47" s="36" t="inlineStr">
        <is>
          <t>Cias - snapshot 15/07/2026</t>
        </is>
      </c>
    </row>
    <row r="48" ht="30" customHeight="1">
      <c r="A48" s="34" t="inlineStr">
        <is>
          <t>Comprar assento para o instrumento</t>
        </is>
      </c>
      <c r="B48" s="35" t="inlineStr">
        <is>
          <t>NAO CONFIRMADO em fonte oficial. Nao usar como plano.</t>
        </is>
      </c>
      <c r="C48" s="36" t="inlineStr">
        <is>
          <t>-</t>
        </is>
      </c>
    </row>
    <row r="49" ht="30" customHeight="1">
      <c r="A49" s="34" t="inlineStr">
        <is>
          <t>RODOVIARIO - franquia minima do bagageiro</t>
        </is>
      </c>
      <c r="B49" s="35" t="inlineStr">
        <is>
          <t>30 kg, 300 dm3, maior dimensao de qualquer item 1 metro. NAO se aplica a microonibus categoria M3.</t>
        </is>
      </c>
      <c r="C49" s="36" t="inlineStr">
        <is>
          <t>Res. ANTT 6.033/2023</t>
        </is>
      </c>
    </row>
    <row r="50" ht="30" customHeight="1">
      <c r="A50" s="34" t="inlineStr">
        <is>
          <t>RODOVIARIO - porta-embrulhos (mao)</t>
        </is>
      </c>
      <c r="B50" s="35" t="inlineStr">
        <is>
          <t>5 kg. A norma NAO fixa dimensao em cm. Volume ali e responsabilidade do passageiro e NAO tem indenizacao.</t>
        </is>
      </c>
      <c r="C50" s="36" t="inlineStr">
        <is>
          <t>Res. ANTT 6.033/2023</t>
        </is>
      </c>
    </row>
    <row r="51" ht="30" customHeight="1">
      <c r="A51" s="34" t="inlineStr">
        <is>
          <t>RODOVIARIO - excesso de bagagem</t>
        </is>
      </c>
      <c r="B51" s="35" t="inlineStr">
        <is>
          <t>O teto de 0,5%/kg da Res. 1.432/2006 ACABOU. Hoje e SERVICO ACESSORIO: oferta facultativa e PRECO LIVRE - a empresa pode simplesmente RECUSAR. Por isso esta planilha nao tem tabela de excesso rodoviario: e premissa do aluno.</t>
        </is>
      </c>
      <c r="C51" s="36" t="inlineStr">
        <is>
          <t>Res. ANTT 6.033/2023</t>
        </is>
      </c>
    </row>
    <row r="52" ht="30" customHeight="1">
      <c r="A52" s="34" t="inlineStr">
        <is>
          <t>ACHADO CRITICO</t>
        </is>
      </c>
      <c r="B52" s="35" t="inlineStr">
        <is>
          <t>A Res. ANTT 1.432/2006 esta REVOGADA pela 6.033/2023 - e ate a pagina da propria ANTT no ar continua desatualizada citando a norma revogada. Nao cite a 1.432.</t>
        </is>
      </c>
      <c r="C52" s="36" t="inlineStr">
        <is>
          <t>Res. ANTT 6.033/2023</t>
        </is>
      </c>
    </row>
    <row r="53" ht="30" customHeight="1">
      <c r="A53" s="34" t="inlineStr">
        <is>
          <t>RODOVIARIO - equipamento fora do padrao</t>
        </is>
      </c>
      <c r="B53" s="35" t="inlineStr">
        <is>
          <t>Avisar a empresa com no minimo 24 h de antecedencia (dever do usuario) - e ainda assim ela NAO e obrigada a aceitar.</t>
        </is>
      </c>
      <c r="C53" s="36" t="inlineStr">
        <is>
          <t>Res. ANTT 6.033/2023</t>
        </is>
      </c>
    </row>
    <row r="54" ht="30" customHeight="1">
      <c r="A54" s="34" t="inlineStr">
        <is>
          <t>FRETAMENTO - modalidade da equipe</t>
        </is>
      </c>
      <c r="B54" s="35" t="inlineStr">
        <is>
          <t>EVENTUAL (congressos, competicoes). Circuito fechado: grupo com motivacao comum sai da origem, percorre e volta a origem no mesmo veiculo. VENDA DE BILHETE INDIVIDUAL E PROIBIDA.</t>
        </is>
      </c>
      <c r="C54" s="36" t="inlineStr">
        <is>
          <t>Res. ANTT 4.777/2015</t>
        </is>
      </c>
    </row>
    <row r="55" ht="30" customHeight="1">
      <c r="A55" s="34" t="inlineStr">
        <is>
          <t>FRETAMENTO - documentos a bordo</t>
        </is>
      </c>
      <c r="B55" s="35" t="inlineStr">
        <is>
          <t>Licenca de Viagem + relacao de passageiros (art. 23). Tambem CRLV, CSV e apolice do seguro RC (art. 31 §3). 'CITV' NAO EXISTE em fonte oficial.</t>
        </is>
      </c>
      <c r="C55" s="36" t="inlineStr">
        <is>
          <t>Res. ANTT 4.777/2015</t>
        </is>
      </c>
    </row>
    <row r="56" ht="30" customHeight="1">
      <c r="A56" s="34" t="inlineStr">
        <is>
          <t>FRETAMENTO - troca de equipe</t>
        </is>
      </c>
      <c r="B56" s="35" t="inlineStr">
        <is>
          <t>Permitida substituicao de ATE 20% dos passageiros antes da partida.</t>
        </is>
      </c>
      <c r="C56" s="36" t="inlineStr">
        <is>
          <t>Res. ANTT 4.777/2015, art. 36</t>
        </is>
      </c>
    </row>
    <row r="58">
      <c r="A58" s="37" t="inlineStr">
        <is>
          <t>TODO numero desta aba veio de _FATOS-VIAGEM.md (levantamento 15/07/2026). Onde a fonte oficial nao publica ou se contradiz, esta escrito 'nao publicado' de proposito - e as formulas das outras abas devolvem alerta em vez de um numero inventado.</t>
        </is>
      </c>
    </row>
  </sheetData>
  <mergeCells count="3">
    <mergeCell ref="A2:H2"/>
    <mergeCell ref="A58:H5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2026-07-15T17:02:59Z</dcterms:created>
  <dcterms:modified xsi:type="dcterms:W3CDTF">2026-07-15T17:02:59Z</dcterms:modified>
</cp:coreProperties>
</file>